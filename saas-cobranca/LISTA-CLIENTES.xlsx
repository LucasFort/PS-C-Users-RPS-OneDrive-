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Clientes" sheetId="2" state="visible" r:id="rId4"/>
    <sheet name="Resumo" sheetId="3" state="visible" r:id="rId5"/>
    <sheet name="Mensage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<sst xmlns="http://schemas.openxmlformats.org/spreadsheetml/2006/main" count="626" uniqueCount="291">
  <si>
    <t xml:space="preserve">Como usar esta planilha</t>
  </si>
  <si>
    <t xml:space="preserve">1. Na aba Clientes, comece pela Prioridade A (filtre a coluna Prioridade). A = pequeno e independente, com celular/WhatsApp. B = só fixo, sem número público ou que talvez já tenha sistema.</t>
  </si>
  <si>
    <t xml:space="preserve">2. Toque em "Abrir" na coluna Mensagem pronta: abre o WhatsApp do lugar já com a primeira mensagem escrita.</t>
  </si>
  <si>
    <t xml:space="preserve">3. Depois de mandar, mude a coluna Status (lista suspensa) e preencha Data do contato, Próximo passo e Data do próximo passo. A linha muda de cor conforme o status.</t>
  </si>
  <si>
    <t xml:space="preserve">4. A Data do próximo passo fica vermelha quando chega o dia: é hora do follow-up.</t>
  </si>
  <si>
    <t xml:space="preserve">5. A aba Resumo conta tudo sozinha (respostas, testes, clientes fechados e receita).</t>
  </si>
  <si>
    <t xml:space="preserve">Colunas para você preencher: Status, Data do contato, Próximo passo, Data do próximo passo.</t>
  </si>
  <si>
    <t xml:space="preserve">Exemplo de preenchimento: Status = Mensagem enviada · Data do contato = 21/10/2026 · Próximo passo = Mandar vídeo se responder · Data do próximo passo = 23/10/2026</t>
  </si>
  <si>
    <t xml:space="preserve">Limites: contatos tirados de sites, guias locais e perfis públicos em 20/10/2026 (link em Fonte); alguns podem estar desatualizados. Mande no máximo 20 a 30 mensagens por dia, uma por uma, para o WhatsApp não bloquear o número.</t>
  </si>
  <si>
    <t xml:space="preserve">Nº</t>
  </si>
  <si>
    <t xml:space="preserve">Prioridade</t>
  </si>
  <si>
    <t xml:space="preserve">Tipo</t>
  </si>
  <si>
    <t xml:space="preserve">Nome</t>
  </si>
  <si>
    <t xml:space="preserve">Cidade</t>
  </si>
  <si>
    <t xml:space="preserve">UF</t>
  </si>
  <si>
    <t xml:space="preserve">Bairro</t>
  </si>
  <si>
    <t xml:space="preserve">WhatsApp / Telefone</t>
  </si>
  <si>
    <t xml:space="preserve">Mensagem pronta</t>
  </si>
  <si>
    <t xml:space="preserve">Instagram / Site</t>
  </si>
  <si>
    <t xml:space="preserve">Observação</t>
  </si>
  <si>
    <t xml:space="preserve">Status</t>
  </si>
  <si>
    <t xml:space="preserve">Data do contato</t>
  </si>
  <si>
    <t xml:space="preserve">Próximo passo</t>
  </si>
  <si>
    <t xml:space="preserve">Data do próximo passo</t>
  </si>
  <si>
    <t xml:space="preserve">Fonte</t>
  </si>
  <si>
    <t xml:space="preserve">A</t>
  </si>
  <si>
    <t xml:space="preserve">Futebol</t>
  </si>
  <si>
    <t xml:space="preserve">Ceti Piracicaba (Clube dos Metalúrgicos)</t>
  </si>
  <si>
    <t xml:space="preserve">Piracicaba</t>
  </si>
  <si>
    <t xml:space="preserve">SP</t>
  </si>
  <si>
    <t xml:space="preserve">Clube dos Metalúrgicos</t>
  </si>
  <si>
    <t xml:space="preserve">(19) 98808-7009</t>
  </si>
  <si>
    <t xml:space="preserve">Abrir</t>
  </si>
  <si>
    <t xml:space="preserve">Falar com Edlaine. 5 a 16 anos, mensalidade R$80 a R$130.</t>
  </si>
  <si>
    <t xml:space="preserve">Não contatado</t>
  </si>
  <si>
    <t xml:space="preserve">Ver</t>
  </si>
  <si>
    <t xml:space="preserve">Escola de Futebol Coach Pro Arena</t>
  </si>
  <si>
    <t xml:space="preserve">Jundiaí</t>
  </si>
  <si>
    <t xml:space="preserve">(11) 99962-0007</t>
  </si>
  <si>
    <t xml:space="preserve">Contato de guia local (sem data).</t>
  </si>
  <si>
    <t xml:space="preserve">Escola de Futebol MBrasil</t>
  </si>
  <si>
    <t xml:space="preserve">(11) 99599-6190</t>
  </si>
  <si>
    <t xml:space="preserve">Outro número: (11) 96201-0933.</t>
  </si>
  <si>
    <t xml:space="preserve">APAFUT - Academia Porto Alegrense de Futebol</t>
  </si>
  <si>
    <t xml:space="preserve">Porto Alegre</t>
  </si>
  <si>
    <t xml:space="preserve">RS</t>
  </si>
  <si>
    <t xml:space="preserve">Tristeza</t>
  </si>
  <si>
    <t xml:space="preserve">(51) 99181-6479</t>
  </si>
  <si>
    <t xml:space="preserve">apafut.com.br</t>
  </si>
  <si>
    <t xml:space="preserve">Matrículas 2026 abertas, dentro da FC Arena Soccer.</t>
  </si>
  <si>
    <t xml:space="preserve">Academia</t>
  </si>
  <si>
    <t xml:space="preserve">Lion Gym Fitness Center</t>
  </si>
  <si>
    <t xml:space="preserve">Uberlândia</t>
  </si>
  <si>
    <t xml:space="preserve">MG</t>
  </si>
  <si>
    <t xml:space="preserve">Centro</t>
  </si>
  <si>
    <t xml:space="preserve">(34) 99296-6601</t>
  </si>
  <si>
    <t xml:space="preserve">facebook.com/liongymuberlandia</t>
  </si>
  <si>
    <t xml:space="preserve">Musculação e funcional.</t>
  </si>
  <si>
    <t xml:space="preserve">Fix Pilates e Fisioterapia</t>
  </si>
  <si>
    <t xml:space="preserve">Ribeirão Preto</t>
  </si>
  <si>
    <t xml:space="preserve">(16) 99223-5763</t>
  </si>
  <si>
    <t xml:space="preserve">studiofixpilatesrp.wixsite.com</t>
  </si>
  <si>
    <t xml:space="preserve">Outro número: (16) 98112-4606.</t>
  </si>
  <si>
    <t xml:space="preserve">Studio Fit Pilates</t>
  </si>
  <si>
    <t xml:space="preserve">Nova Ribeirânia</t>
  </si>
  <si>
    <t xml:space="preserve">(16) 98231-1550</t>
  </si>
  <si>
    <t xml:space="preserve">Pilates, fisioterapia e estética.</t>
  </si>
  <si>
    <t xml:space="preserve">Espaço Vita Personal e Pilates</t>
  </si>
  <si>
    <t xml:space="preserve">(16) 98844-8832</t>
  </si>
  <si>
    <t xml:space="preserve">Contato de diretório, pode estar desatualizado.</t>
  </si>
  <si>
    <t xml:space="preserve">Studio Paulo Otacílio (pilates e funcional)</t>
  </si>
  <si>
    <t xml:space="preserve">São José do Rio Preto</t>
  </si>
  <si>
    <t xml:space="preserve">Vila São José</t>
  </si>
  <si>
    <t xml:space="preserve">(17) 98222-2267</t>
  </si>
  <si>
    <t xml:space="preserve">Seg a sex, 8h às 20h.</t>
  </si>
  <si>
    <t xml:space="preserve">Studio Marília Bega Pilates</t>
  </si>
  <si>
    <t xml:space="preserve">Parque Damha</t>
  </si>
  <si>
    <t xml:space="preserve">(17) 99123-0579</t>
  </si>
  <si>
    <t xml:space="preserve">pilatesriopreto.net</t>
  </si>
  <si>
    <t xml:space="preserve">Oferece aula experimental.</t>
  </si>
  <si>
    <t xml:space="preserve">Lutas</t>
  </si>
  <si>
    <t xml:space="preserve">Dojo Kanashiro</t>
  </si>
  <si>
    <t xml:space="preserve">Goiânia</t>
  </si>
  <si>
    <t xml:space="preserve">GO</t>
  </si>
  <si>
    <t xml:space="preserve">Setor Marista</t>
  </si>
  <si>
    <t xml:space="preserve">(62) 98209-4340</t>
  </si>
  <si>
    <t xml:space="preserve">@dojokanashiro</t>
  </si>
  <si>
    <t xml:space="preserve">Karatê, judô, jiu-jitsu, muay thai.</t>
  </si>
  <si>
    <t xml:space="preserve">Academia FT 38</t>
  </si>
  <si>
    <t xml:space="preserve">(62) 98127-0596</t>
  </si>
  <si>
    <t xml:space="preserve">ft38.com.br</t>
  </si>
  <si>
    <t xml:space="preserve">Cross, boxe, muay thai, jiu-jitsu, judô.</t>
  </si>
  <si>
    <t xml:space="preserve">Budokan Academia</t>
  </si>
  <si>
    <t xml:space="preserve">(62) 98295-6288</t>
  </si>
  <si>
    <t xml:space="preserve">@budokan.academia</t>
  </si>
  <si>
    <t xml:space="preserve">Jiu-jitsu e judô.</t>
  </si>
  <si>
    <t xml:space="preserve">Black Thai</t>
  </si>
  <si>
    <t xml:space="preserve">(62) 98296-4847</t>
  </si>
  <si>
    <t xml:space="preserve">Muay thai.</t>
  </si>
  <si>
    <t xml:space="preserve">Villa Real Muay Thai</t>
  </si>
  <si>
    <t xml:space="preserve">(62) 98610-9336</t>
  </si>
  <si>
    <t xml:space="preserve">Hanuman Escola de Muaythai</t>
  </si>
  <si>
    <t xml:space="preserve">(62) 98158-6537</t>
  </si>
  <si>
    <t xml:space="preserve">@hanuman.mp</t>
  </si>
  <si>
    <t xml:space="preserve">Fight Sports Club Goiânia</t>
  </si>
  <si>
    <t xml:space="preserve">(62) 98159-3223</t>
  </si>
  <si>
    <t xml:space="preserve">Jiu-jitsu e muay thai.</t>
  </si>
  <si>
    <t xml:space="preserve">Schima Combat</t>
  </si>
  <si>
    <t xml:space="preserve">Maringá</t>
  </si>
  <si>
    <t xml:space="preserve">PR</t>
  </si>
  <si>
    <t xml:space="preserve">Av. Morangueira</t>
  </si>
  <si>
    <t xml:space="preserve">(44) 99732-8817</t>
  </si>
  <si>
    <t xml:space="preserve">@schimacombat</t>
  </si>
  <si>
    <t xml:space="preserve">Muay thai, boxe, jiu-jitsu, krav maga.</t>
  </si>
  <si>
    <t xml:space="preserve">Clube Feijão Team</t>
  </si>
  <si>
    <t xml:space="preserve">Rua Saldanha Marinho</t>
  </si>
  <si>
    <t xml:space="preserve">(44) 99108-3530</t>
  </si>
  <si>
    <t xml:space="preserve">@clubefeijaojj_team</t>
  </si>
  <si>
    <t xml:space="preserve">Jiu-jitsu. Fixo: (44) 3346-3497.</t>
  </si>
  <si>
    <t xml:space="preserve">Magoo Jiu-Jitsu</t>
  </si>
  <si>
    <t xml:space="preserve">Londrina</t>
  </si>
  <si>
    <t xml:space="preserve">(43) 99116-3738</t>
  </si>
  <si>
    <t xml:space="preserve">@magoojiujitsu</t>
  </si>
  <si>
    <t xml:space="preserve">Aulas para crianças e adultos.</t>
  </si>
  <si>
    <t xml:space="preserve">Titans MMA</t>
  </si>
  <si>
    <t xml:space="preserve">(43) 99120-4510</t>
  </si>
  <si>
    <t xml:space="preserve">facebook.com/titansmmabr</t>
  </si>
  <si>
    <t xml:space="preserve">Dança</t>
  </si>
  <si>
    <t xml:space="preserve">Dance Sempre / Dance Show</t>
  </si>
  <si>
    <t xml:space="preserve">Curitiba</t>
  </si>
  <si>
    <t xml:space="preserve">(41) 98816-0900</t>
  </si>
  <si>
    <t xml:space="preserve">@dancesemprecuritiba</t>
  </si>
  <si>
    <t xml:space="preserve">Fixo: (41) 3023-1553.</t>
  </si>
  <si>
    <t xml:space="preserve">Believe Studio de Dança</t>
  </si>
  <si>
    <t xml:space="preserve">Al. Dom Pedro II</t>
  </si>
  <si>
    <t xml:space="preserve">(41) 99136-9977</t>
  </si>
  <si>
    <t xml:space="preserve">@believestudiodedanca</t>
  </si>
  <si>
    <t xml:space="preserve">Fixo: (41) 3434-2030.</t>
  </si>
  <si>
    <t xml:space="preserve">Flor de Lótus (dança e yoga)</t>
  </si>
  <si>
    <t xml:space="preserve">(41) 99186-1501</t>
  </si>
  <si>
    <t xml:space="preserve">estudioflordelotus.com</t>
  </si>
  <si>
    <t xml:space="preserve">Dança infantil a partir de 3 anos.</t>
  </si>
  <si>
    <t xml:space="preserve">Baillarine Ballet</t>
  </si>
  <si>
    <t xml:space="preserve">Florianópolis</t>
  </si>
  <si>
    <t xml:space="preserve">SC</t>
  </si>
  <si>
    <t xml:space="preserve">Rod. Antônio Luiz Moura Gonzaga</t>
  </si>
  <si>
    <t xml:space="preserve">(48) 99644-1123</t>
  </si>
  <si>
    <t xml:space="preserve">baillarineballet.com.br</t>
  </si>
  <si>
    <t xml:space="preserve">Balé de 4 a 10 anos.</t>
  </si>
  <si>
    <t xml:space="preserve">DUO Escola de Dança</t>
  </si>
  <si>
    <t xml:space="preserve">Campo Grande</t>
  </si>
  <si>
    <t xml:space="preserve">MS</t>
  </si>
  <si>
    <t xml:space="preserve">Rua da Paz</t>
  </si>
  <si>
    <t xml:space="preserve">(67) 99168-5516</t>
  </si>
  <si>
    <t xml:space="preserve">duoescoladedanca.com</t>
  </si>
  <si>
    <t xml:space="preserve">Balé, jazz, danças urbanas.</t>
  </si>
  <si>
    <t xml:space="preserve">Natação</t>
  </si>
  <si>
    <t xml:space="preserve">Academia Flipper</t>
  </si>
  <si>
    <t xml:space="preserve">Belo Horizonte</t>
  </si>
  <si>
    <t xml:space="preserve">Castelo</t>
  </si>
  <si>
    <t xml:space="preserve">(31) 97574-8477</t>
  </si>
  <si>
    <t xml:space="preserve">flipperacademia.com.br</t>
  </si>
  <si>
    <t xml:space="preserve">Aula experimental grátis pelo WhatsApp.</t>
  </si>
  <si>
    <t xml:space="preserve">Academia WB</t>
  </si>
  <si>
    <t xml:space="preserve">Sion</t>
  </si>
  <si>
    <t xml:space="preserve">(31) 99568-5283</t>
  </si>
  <si>
    <t xml:space="preserve">academiawb.com.br</t>
  </si>
  <si>
    <t xml:space="preserve">Fixo: (31) 3281-2633.</t>
  </si>
  <si>
    <t xml:space="preserve">Cursos</t>
  </si>
  <si>
    <t xml:space="preserve">Apreender (reforço escolar e contraturno)</t>
  </si>
  <si>
    <t xml:space="preserve">Sorocaba</t>
  </si>
  <si>
    <t xml:space="preserve">Jd. Guadalajara</t>
  </si>
  <si>
    <t xml:space="preserve">(15) 99279-7968</t>
  </si>
  <si>
    <t xml:space="preserve">Reforço escolar.</t>
  </si>
  <si>
    <t xml:space="preserve">Parábola Educacional</t>
  </si>
  <si>
    <t xml:space="preserve">(15) 99698-7765</t>
  </si>
  <si>
    <t xml:space="preserve">LONI Escola de Inglês</t>
  </si>
  <si>
    <t xml:space="preserve">(15) 99765-1556</t>
  </si>
  <si>
    <t xml:space="preserve">Inglês.</t>
  </si>
  <si>
    <t xml:space="preserve">Musix Academia de Música</t>
  </si>
  <si>
    <t xml:space="preserve">Jd. Paulistano</t>
  </si>
  <si>
    <t xml:space="preserve">(15) 99770-7017</t>
  </si>
  <si>
    <t xml:space="preserve">Música.</t>
  </si>
  <si>
    <t xml:space="preserve">Escola Mais QI</t>
  </si>
  <si>
    <t xml:space="preserve">Campinas</t>
  </si>
  <si>
    <t xml:space="preserve">Av. das Amoreiras</t>
  </si>
  <si>
    <t xml:space="preserve">(19) 3272-8187</t>
  </si>
  <si>
    <t xml:space="preserve">escolamaisqi.com</t>
  </si>
  <si>
    <t xml:space="preserve">Música, inglês e reforço. Número é telefone e WhatsApp.</t>
  </si>
  <si>
    <t xml:space="preserve">B</t>
  </si>
  <si>
    <t xml:space="preserve">Escolinha de Futsal Treinador Miguel Cândido</t>
  </si>
  <si>
    <t xml:space="preserve">Recife</t>
  </si>
  <si>
    <t xml:space="preserve">PE</t>
  </si>
  <si>
    <t xml:space="preserve">Tamarineira</t>
  </si>
  <si>
    <t xml:space="preserve">(81) 3265-3039</t>
  </si>
  <si>
    <t xml:space="preserve">—</t>
  </si>
  <si>
    <t xml:space="preserve">Só telefone fixo: ligar.</t>
  </si>
  <si>
    <t xml:space="preserve">Escola de Futebol Boca Juniors Campos Elíseos</t>
  </si>
  <si>
    <t xml:space="preserve">Jd. Campos Elíseos</t>
  </si>
  <si>
    <t xml:space="preserve">bocajuniorscamposeliseos.com.br</t>
  </si>
  <si>
    <t xml:space="preserve">Sem telefone no site. Escola licenciada de marca: pode já usar sistema da rede.</t>
  </si>
  <si>
    <t xml:space="preserve">Cross Mov</t>
  </si>
  <si>
    <t xml:space="preserve">(16) 3514-9715</t>
  </si>
  <si>
    <t xml:space="preserve">Só telefone fixo.</t>
  </si>
  <si>
    <t xml:space="preserve">Bio Wellness Fitness Studio</t>
  </si>
  <si>
    <t xml:space="preserve">Jd. Panorama</t>
  </si>
  <si>
    <t xml:space="preserve">(17) 3301-4533</t>
  </si>
  <si>
    <t xml:space="preserve">biowellnessstudio.com.br</t>
  </si>
  <si>
    <t xml:space="preserve">Academia Universal</t>
  </si>
  <si>
    <t xml:space="preserve">Joinville</t>
  </si>
  <si>
    <t xml:space="preserve">Iririú</t>
  </si>
  <si>
    <t xml:space="preserve">universalacademia.com.br</t>
  </si>
  <si>
    <t xml:space="preserve">WhatsApp no site.</t>
  </si>
  <si>
    <t xml:space="preserve">Eisenfit</t>
  </si>
  <si>
    <t xml:space="preserve">Anita Garibaldi</t>
  </si>
  <si>
    <t xml:space="preserve">eisenfit.com.br</t>
  </si>
  <si>
    <t xml:space="preserve">Contato no site.</t>
  </si>
  <si>
    <t xml:space="preserve">Power Academia Sports</t>
  </si>
  <si>
    <t xml:space="preserve">Av. Saul Elkind</t>
  </si>
  <si>
    <t xml:space="preserve">facebook.com/poweracademiasports</t>
  </si>
  <si>
    <t xml:space="preserve">Contato pelo Facebook.</t>
  </si>
  <si>
    <t xml:space="preserve">OFF Academia</t>
  </si>
  <si>
    <t xml:space="preserve">academiaoff.com.br</t>
  </si>
  <si>
    <t xml:space="preserve">Dojo Fight School (Norte BJJ)</t>
  </si>
  <si>
    <t xml:space="preserve">Jd. Ipanema</t>
  </si>
  <si>
    <t xml:space="preserve">dojofightschool.com</t>
  </si>
  <si>
    <t xml:space="preserve">Matriz de equipe: pode ter sistema.</t>
  </si>
  <si>
    <t xml:space="preserve">Fabricio Callabari Ballet Studio</t>
  </si>
  <si>
    <t xml:space="preserve">(48) 3771-2136</t>
  </si>
  <si>
    <t xml:space="preserve">fcbsfloripa.com.br</t>
  </si>
  <si>
    <t xml:space="preserve">Só telefone fixo. Outro: (48) 3224-4737.</t>
  </si>
  <si>
    <t xml:space="preserve">Essencial Studio de Dança</t>
  </si>
  <si>
    <t xml:space="preserve">Rio Vermelho</t>
  </si>
  <si>
    <t xml:space="preserve">essencial.studio</t>
  </si>
  <si>
    <t xml:space="preserve">Aqualita Jaraguá</t>
  </si>
  <si>
    <t xml:space="preserve">Liberdade</t>
  </si>
  <si>
    <t xml:space="preserve">(31) 99627-0826</t>
  </si>
  <si>
    <t xml:space="preserve">jaragua.aqualita.com.br</t>
  </si>
  <si>
    <t xml:space="preserve">Parece ter mais de uma unidade: pode já ter sistema.</t>
  </si>
  <si>
    <t xml:space="preserve">Academia Mergulho</t>
  </si>
  <si>
    <t xml:space="preserve">Barreiro</t>
  </si>
  <si>
    <t xml:space="preserve">(31) 3383-7570</t>
  </si>
  <si>
    <t xml:space="preserve">mergulhobh.com.br</t>
  </si>
  <si>
    <t xml:space="preserve">2 unidades. Outro: (31) 3333-8880.</t>
  </si>
  <si>
    <t xml:space="preserve">R3 Natação Infantil</t>
  </si>
  <si>
    <t xml:space="preserve">Cidade Nova</t>
  </si>
  <si>
    <t xml:space="preserve">(31) 2551-9352</t>
  </si>
  <si>
    <t xml:space="preserve">Contato de diretório, só fixo.</t>
  </si>
  <si>
    <t xml:space="preserve">Academia Hidrovip</t>
  </si>
  <si>
    <t xml:space="preserve">Esplanada</t>
  </si>
  <si>
    <t xml:space="preserve">academiahidrovip.com.br</t>
  </si>
  <si>
    <t xml:space="preserve">Connection Idiomas</t>
  </si>
  <si>
    <t xml:space="preserve">(15) 3329-5504</t>
  </si>
  <si>
    <t xml:space="preserve">Resumo da prospecção</t>
  </si>
  <si>
    <t xml:space="preserve">Atualiza sozinho conforme você muda a coluna Status na aba Clientes.</t>
  </si>
  <si>
    <t xml:space="preserve">Total</t>
  </si>
  <si>
    <t xml:space="preserve">Prioridade A</t>
  </si>
  <si>
    <t xml:space="preserve">Mensagem enviada</t>
  </si>
  <si>
    <t xml:space="preserve">Respondeu</t>
  </si>
  <si>
    <t xml:space="preserve">Vídeo/demo enviado</t>
  </si>
  <si>
    <t xml:space="preserve">Teste grátis</t>
  </si>
  <si>
    <t xml:space="preserve">Fechou (cliente)</t>
  </si>
  <si>
    <t xml:space="preserve">Sem interesse</t>
  </si>
  <si>
    <t xml:space="preserve">Número errado</t>
  </si>
  <si>
    <t xml:space="preserve">Taxa de resposta</t>
  </si>
  <si>
    <t xml:space="preserve">(respondeu ou avançou ÷ contatados, sem contar número errado)</t>
  </si>
  <si>
    <t xml:space="preserve">Clientes fechados</t>
  </si>
  <si>
    <t xml:space="preserve">Receita mensal (R$49 cada)</t>
  </si>
  <si>
    <t xml:space="preserve">Preço do plano (R$)</t>
  </si>
  <si>
    <t xml:space="preserve">Plano Completo da demonstração. Mude aqui se mudar o preço.</t>
  </si>
  <si>
    <t xml:space="preserve">Mensagens prontas</t>
  </si>
  <si>
    <t xml:space="preserve">1. Primeira mensagem</t>
  </si>
  <si>
    <t xml:space="preserve">Oi, tudo bem? Encontrei vocês pesquisando [tipo] em [cidade] e curti muito o trabalho! Pergunta rápida: vocês ainda cobram as mensalidades um por um no WhatsApp?
(O botão "Abrir" da aba Clientes já manda essa mensagem pronta.)</t>
  </si>
  <si>
    <t xml:space="preserve">2. Se responder sim</t>
  </si>
  <si>
    <t xml:space="preserve">Imaginei, quase todo mundo passa por isso! Estou lançando um sistema que cobra sozinho no WhatsApp com o Pix pronto, mostra quem tá devendo e o lucro do mês. Fiz um vídeo de 40 segundos mostrando, posso te mandar?</t>
  </si>
  <si>
    <t xml:space="preserve">3. Junto com o vídeo</t>
  </si>
  <si>
    <t xml:space="preserve">Fiz esse vídeo rapidinho mostrando como funciona 👆 Se quiser mexer você mesmo, é só abrir no celular: https://claude.ai/artifact/XKq23zS6CBW4pj5rmbacF9#[tipo]
Toca em "Cobrar todos os atrasados" pra ver a mensagem que o aluno recebe.
(No final do link: #futebol, #academia, #lutas, #danca, #natacao ou #cursos)</t>
  </si>
  <si>
    <t xml:space="preserve">4. Depois que olhar</t>
  </si>
  <si>
    <t xml:space="preserve">O que achou? Quantos alunos vocês têm hoje, mais ou menos?</t>
  </si>
  <si>
    <t xml:space="preserve">5. Fechamento</t>
  </si>
  <si>
    <t xml:space="preserve">Com [80] alunos a R$[150], se uns 20% atrasam, são R$[2.400] parados todo mês. O sistema sai R$49/mês. Estou liberando para as 10 primeiras escolas com o 1º mês grátis, e eu mesmo cadastro seus alunos. Quer testar?</t>
  </si>
  <si>
    <t xml:space="preserve">Follow-up (2 dias)</t>
  </si>
  <si>
    <t xml:space="preserve">Oi! Conseguiu ver o vídeo? 🙂</t>
  </si>
  <si>
    <t xml:space="preserve">Último follow-up (+4 dias)</t>
  </si>
  <si>
    <t xml:space="preserve">Última mensagem pra não te incomodar: se quiser testar 1 mês grátis, é só me chamar.</t>
  </si>
  <si>
    <t xml:space="preserve">Objeção: "tá caro"</t>
  </si>
  <si>
    <t xml:space="preserve">Se fizer um único aluno pagar em dia, já se pagou. E o primeiro mês é grátis.</t>
  </si>
  <si>
    <t xml:space="preserve">Objeção: "já uso o banco"</t>
  </si>
  <si>
    <t xml:space="preserve">O banco gera o Pix, mas não manda a cobrança no WhatsApp de cada aluno, não lembra quem atrasou e não mostra a lista de quem deve. O sistema faz isso sozinho.</t>
  </si>
  <si>
    <t xml:space="preserve">Objeção: "vou pensar"</t>
  </si>
  <si>
    <t xml:space="preserve">Tranquilo! Posso cadastrar seus alunos sem compromisso, você usa o mês grátis e decide depois?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</si>
</sst>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%"/>
    <numFmt numFmtId="168" formatCode="&quot;R$ &quot;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744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color rgb="FF5D6A62"/>
      <name val="Arial"/>
      <family val="0"/>
      <charset val="1"/>
    </font>
    <font>
      <sz val="9"/>
      <color rgb="FF5D6A62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7449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AE2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E744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E2F0E7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1E7449"/>
      </font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449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AE2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E7"/>
      <rgbColor rgb="FFC6EFCE"/>
      <rgbColor rgb="FFEDEDED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D6A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ientes" displayName="Clientes" ref="A1:P50" headerRowCount="1" totalsRowCount="0" totalsRowShown="0">
  <autoFilter ref="A1:P50"/>
  <tableColumns count="16">
    <tableColumn id="1" name="Nº"/>
    <tableColumn id="2" name="Prioridade"/>
    <tableColumn id="3" name="Tipo"/>
    <tableColumn id="4" name="Nome"/>
    <tableColumn id="5" name="Cidade"/>
    <tableColumn id="6" name="UF"/>
    <tableColumn id="7" name="Bairro"/>
    <tableColumn id="8" name="WhatsApp / Telefone"/>
    <tableColumn id="9" name="Mensagem pronta"/>
    <tableColumn id="10" name="Instagram / Site"/>
    <tableColumn id="11" name="Observação"/>
    <tableColumn id="12" name="Status"/>
    <tableColumn id="13" name="Data do contato"/>
    <tableColumn id="14" name="Próximo passo"/>
    <tableColumn id="15" name="Data do próximo passo"/>
    <tableColumn id="16" name="Fon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a.me/5519988087009?text=Oi%2C%20tudo%20bem%3F%20Encontrei%20voc&#234;s%20pesquisando%20escolinhas%20de%20futebol%20em%20Piracicaba%20e%20curti%20muito%20o%20trabalho%21%20Pergunta%20r&#225;pida%3A%20voc&#234;s%20ainda%20cobram%20as%20mensalidades%20um%20por%20u" TargetMode="External"/><Relationship Id="rId2" Type="http://schemas.openxmlformats.org/officeDocument/2006/relationships/hyperlink" Target="https://www.metalpiracicaba.com.br/2026/07/21/escolinha-de-futebol-conta-com-meninos-de-5-a-16-anos/" TargetMode="External"/><Relationship Id="rId3" Type="http://schemas.openxmlformats.org/officeDocument/2006/relationships/hyperlink" Target="https://wa.me/5511999620007?text=Oi%2C%20tudo%20bem%3F%20Encontrei%20voc&#234;s%20pesquisando%20escolinhas%20de%20futebol%20em%20Jundia&#237;%20e%20curti%20muito%20o%20trabalho%21%20Pergunta%20r&#225;pida%3A%20voc&#234;s%20ainda%20cobram%20as%20mensalidades%20um%20por%20um%2" TargetMode="External"/><Relationship Id="rId4" Type="http://schemas.openxmlformats.org/officeDocument/2006/relationships/hyperlink" Target="https://www.jundiaionline.com.br/guia/esporte/escolinhas-futebol.asp?c=202" TargetMode="External"/><Relationship Id="rId5" Type="http://schemas.openxmlformats.org/officeDocument/2006/relationships/hyperlink" Target="https://wa.me/5511995996190?text=Oi%2C%20tudo%20bem%3F%20Encontrei%20voc&#234;s%20pesquisando%20escolinhas%20de%20futebol%20em%20Jundia&#237;%20e%20curti%20muito%20o%20trabalho%21%20Pergunta%20r&#225;pida%3A%20voc&#234;s%20ainda%20cobram%20as%20mensalidades%20um%20por%20um%2" TargetMode="External"/><Relationship Id="rId6" Type="http://schemas.openxmlformats.org/officeDocument/2006/relationships/hyperlink" Target="https://www.jundiaionline.com.br/guia/esporte/escolinhas-futebol.asp?c=202" TargetMode="External"/><Relationship Id="rId7" Type="http://schemas.openxmlformats.org/officeDocument/2006/relationships/hyperlink" Target="https://wa.me/5551991816479?text=Oi%2C%20tudo%20bem%3F%20Encontrei%20voc&#234;s%20pesquisando%20escolinhas%20de%20futebol%20em%20Porto%20Alegre%20e%20curti%20muito%20o%20trabalho%21%20Pergunta%20r&#225;pida%3A%20voc&#234;s%20ainda%20cobram%20as%20mensalidades%20um%20por" TargetMode="External"/><Relationship Id="rId8" Type="http://schemas.openxmlformats.org/officeDocument/2006/relationships/hyperlink" Target="https://apafut.com.br/" TargetMode="External"/><Relationship Id="rId9" Type="http://schemas.openxmlformats.org/officeDocument/2006/relationships/hyperlink" Target="https://wa.me/5534992966601?text=Oi%2C%20tudo%20bem%3F%20Encontrei%20voc&#234;s%20pesquisando%20academias%20e%20studios%20em%20Uberl&#226;ndia%20e%20curti%20muito%20o%20trabalho%21%20Pergunta%20r&#225;pida%3A%20voc&#234;s%20ainda%20cobram%20as%20mensalidades%20um%20por%20um%" TargetMode="External"/><Relationship Id="rId10" Type="http://schemas.openxmlformats.org/officeDocument/2006/relationships/hyperlink" Target="https://www.facebook.com/liongymuberlandia/" TargetMode="External"/><Relationship Id="rId11" Type="http://schemas.openxmlformats.org/officeDocument/2006/relationships/hyperlink" Target="https://wa.me/5516992235763?text=Oi%2C%20tudo%20bem%3F%20Encontrei%20voc&#234;s%20pesquisando%20academias%20e%20studios%20em%20Ribeir&#227;o%20Preto%20e%20curti%20muito%20o%20trabalho%21%20Pergunta%20r&#225;pida%3A%20voc&#234;s%20ainda%20cobram%20as%20mensalidades%20um%20por" TargetMode="External"/><Relationship Id="rId12" Type="http://schemas.openxmlformats.org/officeDocument/2006/relationships/hyperlink" Target="https://studiofixpilatesrp.wixsite.com/studiofixpilates" TargetMode="External"/><Relationship Id="rId13" Type="http://schemas.openxmlformats.org/officeDocument/2006/relationships/hyperlink" Target="https://wa.me/5516982311550?text=Oi%2C%20tudo%20bem%3F%20Encontrei%20voc&#234;s%20pesquisando%20academias%20e%20studios%20em%20Ribeir&#227;o%20Preto%20e%20curti%20muito%20o%20trabalho%21%20Pergunta%20r&#225;pida%3A%20voc&#234;s%20ainda%20cobram%20as%20mensalidades%20um%20por" TargetMode="External"/><Relationship Id="rId14" Type="http://schemas.openxmlformats.org/officeDocument/2006/relationships/hyperlink" Target="https://www.locaisdobrasil.com.br/encontre/estudio-de-pilates/ribeirao-preto-sp/studio-fit-pilates-fisioterapia-e-estetica/6286699b911b8129b7e7cd57" TargetMode="External"/><Relationship Id="rId15" Type="http://schemas.openxmlformats.org/officeDocument/2006/relationships/hyperlink" Target="https://wa.me/5516988448832?text=Oi%2C%20tudo%20bem%3F%20Encontrei%20voc&#234;s%20pesquisando%20academias%20e%20studios%20em%20Ribeir&#227;o%20Preto%20e%20curti%20muito%20o%20trabalho%21%20Pergunta%20r&#225;pida%3A%20voc&#234;s%20ainda%20cobram%20as%20mensalidades%20um%20por" TargetMode="External"/><Relationship Id="rId16" Type="http://schemas.openxmlformats.org/officeDocument/2006/relationships/hyperlink" Target="https://localtreino.com/estudios-de-treinamento-funcional/ribeirao-preto/" TargetMode="External"/><Relationship Id="rId17" Type="http://schemas.openxmlformats.org/officeDocument/2006/relationships/hyperlink" Target="https://wa.me/5517982222267?text=Oi%2C%20tudo%20bem%3F%20Encontrei%20voc&#234;s%20pesquisando%20academias%20e%20studios%20em%20S&#227;o%20Jos&#233;%20do%20Rio%20Preto%20e%20curti%20muito%20o%20trabalho%21%20Pergunta%20r&#225;pida%3A%20voc&#234;s%20ainda%20cobram%20as%20mensalidad" TargetMode="External"/><Relationship Id="rId18" Type="http://schemas.openxmlformats.org/officeDocument/2006/relationships/hyperlink" Target="https://www.locaisdobrasil.com.br/encontre/estudio-de-pilates/sao-jose-do-rio-preto-sp/studio-paulo-otacilio-pilates-personal-trainner-e-treinamento-funcional/62867a59911b8129b7e7d6cb" TargetMode="External"/><Relationship Id="rId19" Type="http://schemas.openxmlformats.org/officeDocument/2006/relationships/hyperlink" Target="https://wa.me/5517991230579?text=Oi%2C%20tudo%20bem%3F%20Encontrei%20voc&#234;s%20pesquisando%20academias%20e%20studios%20em%20S&#227;o%20Jos&#233;%20do%20Rio%20Preto%20e%20curti%20muito%20o%20trabalho%21%20Pergunta%20r&#225;pida%3A%20voc&#234;s%20ainda%20cobram%20as%20mensalidad" TargetMode="External"/><Relationship Id="rId20" Type="http://schemas.openxmlformats.org/officeDocument/2006/relationships/hyperlink" Target="https://www.pilatesriopreto.net/" TargetMode="External"/><Relationship Id="rId21" Type="http://schemas.openxmlformats.org/officeDocument/2006/relationships/hyperlink" Target="https://wa.me/5562982094340?text=Oi%2C%20tudo%20bem%3F%20Encontrei%20voc&#234;s%20pesquisando%20academias%20de%20luta%20em%20Goi&#226;nia%20e%20curti%20muito%20o%20trabalho%21%20Pergunta%20r&#225;pida%3A%20voc&#234;s%20ainda%20cobram%20as%20mensalidades%20um%20por%20um%20no%" TargetMode="External"/><Relationship Id="rId22" Type="http://schemas.openxmlformats.org/officeDocument/2006/relationships/hyperlink" Target="https://www.maisgoias.com.br/divirta-se/artes-marciais-em-goiania-academias-com-diferentes-modalidades-para-garantir-o-treino/" TargetMode="External"/><Relationship Id="rId23" Type="http://schemas.openxmlformats.org/officeDocument/2006/relationships/hyperlink" Target="https://wa.me/5562981270596?text=Oi%2C%20tudo%20bem%3F%20Encontrei%20voc&#234;s%20pesquisando%20academias%20de%20luta%20em%20Goi&#226;nia%20e%20curti%20muito%20o%20trabalho%21%20Pergunta%20r&#225;pida%3A%20voc&#234;s%20ainda%20cobram%20as%20mensalidades%20um%20por%20um%20no%" TargetMode="External"/><Relationship Id="rId24" Type="http://schemas.openxmlformats.org/officeDocument/2006/relationships/hyperlink" Target="https://localtreino.com/escolas-de-artes-marciais/goiania/" TargetMode="External"/><Relationship Id="rId25" Type="http://schemas.openxmlformats.org/officeDocument/2006/relationships/hyperlink" Target="https://wa.me/5562982956288?text=Oi%2C%20tudo%20bem%3F%20Encontrei%20voc&#234;s%20pesquisando%20academias%20de%20luta%20em%20Goi&#226;nia%20e%20curti%20muito%20o%20trabalho%21%20Pergunta%20r&#225;pida%3A%20voc&#234;s%20ainda%20cobram%20as%20mensalidades%20um%20por%20um%20no%" TargetMode="External"/><Relationship Id="rId26" Type="http://schemas.openxmlformats.org/officeDocument/2006/relationships/hyperlink" Target="https://www.maisgoias.com.br/divirta-se/artes-marciais-em-goiania-academias-com-diferentes-modalidades-para-garantir-o-treino/" TargetMode="External"/><Relationship Id="rId27" Type="http://schemas.openxmlformats.org/officeDocument/2006/relationships/hyperlink" Target="https://wa.me/5562982964847?text=Oi%2C%20tudo%20bem%3F%20Encontrei%20voc&#234;s%20pesquisando%20academias%20de%20luta%20em%20Goi&#226;nia%20e%20curti%20muito%20o%20trabalho%21%20Pergunta%20r&#225;pida%3A%20voc&#234;s%20ainda%20cobram%20as%20mensalidades%20um%20por%20um%20no%" TargetMode="External"/><Relationship Id="rId28" Type="http://schemas.openxmlformats.org/officeDocument/2006/relationships/hyperlink" Target="https://localtreino.com/escolas-de-artes-marciais/goiania/" TargetMode="External"/><Relationship Id="rId29" Type="http://schemas.openxmlformats.org/officeDocument/2006/relationships/hyperlink" Target="https://wa.me/5562986109336?text=Oi%2C%20tudo%20bem%3F%20Encontrei%20voc&#234;s%20pesquisando%20academias%20de%20luta%20em%20Goi&#226;nia%20e%20curti%20muito%20o%20trabalho%21%20Pergunta%20r&#225;pida%3A%20voc&#234;s%20ainda%20cobram%20as%20mensalidades%20um%20por%20um%20no%" TargetMode="External"/><Relationship Id="rId30" Type="http://schemas.openxmlformats.org/officeDocument/2006/relationships/hyperlink" Target="https://localtreino.com/escolas-de-artes-marciais/goiania/" TargetMode="External"/><Relationship Id="rId31" Type="http://schemas.openxmlformats.org/officeDocument/2006/relationships/hyperlink" Target="https://wa.me/5562981586537?text=Oi%2C%20tudo%20bem%3F%20Encontrei%20voc&#234;s%20pesquisando%20academias%20de%20luta%20em%20Goi&#226;nia%20e%20curti%20muito%20o%20trabalho%21%20Pergunta%20r&#225;pida%3A%20voc&#234;s%20ainda%20cobram%20as%20mensalidades%20um%20por%20um%20no%" TargetMode="External"/><Relationship Id="rId32" Type="http://schemas.openxmlformats.org/officeDocument/2006/relationships/hyperlink" Target="https://localtreino.com/escolas-de-artes-marciais/goiania/" TargetMode="External"/><Relationship Id="rId33" Type="http://schemas.openxmlformats.org/officeDocument/2006/relationships/hyperlink" Target="https://wa.me/5562981593223?text=Oi%2C%20tudo%20bem%3F%20Encontrei%20voc&#234;s%20pesquisando%20academias%20de%20luta%20em%20Goi&#226;nia%20e%20curti%20muito%20o%20trabalho%21%20Pergunta%20r&#225;pida%3A%20voc&#234;s%20ainda%20cobram%20as%20mensalidades%20um%20por%20um%20no%" TargetMode="External"/><Relationship Id="rId34" Type="http://schemas.openxmlformats.org/officeDocument/2006/relationships/hyperlink" Target="https://localtreino.com/escolas-de-artes-marciais/goiania/fight-sports-club-goiania-academia-de-jiu-jitsu-e-muay-thai/" TargetMode="External"/><Relationship Id="rId35" Type="http://schemas.openxmlformats.org/officeDocument/2006/relationships/hyperlink" Target="https://wa.me/5544997328817?text=Oi%2C%20tudo%20bem%3F%20Encontrei%20voc&#234;s%20pesquisando%20academias%20de%20luta%20em%20Maring&#225;%20e%20curti%20muito%20o%20trabalho%21%20Pergunta%20r&#225;pida%3A%20voc&#234;s%20ainda%20cobram%20as%20mensalidades%20um%20por%20um%20no%" TargetMode="External"/><Relationship Id="rId36" Type="http://schemas.openxmlformats.org/officeDocument/2006/relationships/hyperlink" Target="https://schimacombat.com.br/" TargetMode="External"/><Relationship Id="rId37" Type="http://schemas.openxmlformats.org/officeDocument/2006/relationships/hyperlink" Target="https://wa.me/5544991083530?text=Oi%2C%20tudo%20bem%3F%20Encontrei%20voc&#234;s%20pesquisando%20academias%20de%20luta%20em%20Maring&#225;%20e%20curti%20muito%20o%20trabalho%21%20Pergunta%20r&#225;pida%3A%20voc&#234;s%20ainda%20cobram%20as%20mensalidades%20um%20por%20um%20no%" TargetMode="External"/><Relationship Id="rId38" Type="http://schemas.openxmlformats.org/officeDocument/2006/relationships/hyperlink" Target="https://www.instagram.com/clubefeijaojj_team/" TargetMode="External"/><Relationship Id="rId39" Type="http://schemas.openxmlformats.org/officeDocument/2006/relationships/hyperlink" Target="https://wa.me/5543991163738?text=Oi%2C%20tudo%20bem%3F%20Encontrei%20voc&#234;s%20pesquisando%20academias%20de%20luta%20em%20Londrina%20e%20curti%20muito%20o%20trabalho%21%20Pergunta%20r&#225;pida%3A%20voc&#234;s%20ainda%20cobram%20as%20mensalidades%20um%20por%20um%20no" TargetMode="External"/><Relationship Id="rId40" Type="http://schemas.openxmlformats.org/officeDocument/2006/relationships/hyperlink" Target="https://www.magoojiujitsu.com.br/" TargetMode="External"/><Relationship Id="rId41" Type="http://schemas.openxmlformats.org/officeDocument/2006/relationships/hyperlink" Target="https://wa.me/5543991204510?text=Oi%2C%20tudo%20bem%3F%20Encontrei%20voc&#234;s%20pesquisando%20academias%20de%20luta%20em%20Londrina%20e%20curti%20muito%20o%20trabalho%21%20Pergunta%20r&#225;pida%3A%20voc&#234;s%20ainda%20cobram%20as%20mensalidades%20um%20por%20um%20no" TargetMode="External"/><Relationship Id="rId42" Type="http://schemas.openxmlformats.org/officeDocument/2006/relationships/hyperlink" Target="https://www.facebook.com/titansmmabr/" TargetMode="External"/><Relationship Id="rId43" Type="http://schemas.openxmlformats.org/officeDocument/2006/relationships/hyperlink" Target="https://wa.me/5541988160900?text=Oi%2C%20tudo%20bem%3F%20Encontrei%20voc&#234;s%20pesquisando%20escolas%20de%20dan&#231;a%20em%20Curitiba%20e%20curti%20muito%20o%20trabalho%21%20Pergunta%20r&#225;pida%3A%20voc&#234;s%20ainda%20cobram%20as%20mensalidades%20um%20por%20um%20no%" TargetMode="External"/><Relationship Id="rId44" Type="http://schemas.openxmlformats.org/officeDocument/2006/relationships/hyperlink" Target="https://www.instagram.com/dancesemprecuritiba/" TargetMode="External"/><Relationship Id="rId45" Type="http://schemas.openxmlformats.org/officeDocument/2006/relationships/hyperlink" Target="https://wa.me/5541991369977?text=Oi%2C%20tudo%20bem%3F%20Encontrei%20voc&#234;s%20pesquisando%20escolas%20de%20dan&#231;a%20em%20Curitiba%20e%20curti%20muito%20o%20trabalho%21%20Pergunta%20r&#225;pida%3A%20voc&#234;s%20ainda%20cobram%20as%20mensalidades%20um%20por%20um%20no%" TargetMode="External"/><Relationship Id="rId46" Type="http://schemas.openxmlformats.org/officeDocument/2006/relationships/hyperlink" Target="https://www.instagram.com/believestudiodedanca/" TargetMode="External"/><Relationship Id="rId47" Type="http://schemas.openxmlformats.org/officeDocument/2006/relationships/hyperlink" Target="https://wa.me/5541991861501?text=Oi%2C%20tudo%20bem%3F%20Encontrei%20voc&#234;s%20pesquisando%20escolas%20de%20dan&#231;a%20em%20Curitiba%20e%20curti%20muito%20o%20trabalho%21%20Pergunta%20r&#225;pida%3A%20voc&#234;s%20ainda%20cobram%20as%20mensalidades%20um%20por%20um%20no%" TargetMode="External"/><Relationship Id="rId48" Type="http://schemas.openxmlformats.org/officeDocument/2006/relationships/hyperlink" Target="https://www.estudioflordelotus.com/" TargetMode="External"/><Relationship Id="rId49" Type="http://schemas.openxmlformats.org/officeDocument/2006/relationships/hyperlink" Target="https://wa.me/5548996441123?text=Oi%2C%20tudo%20bem%3F%20Encontrei%20voc&#234;s%20pesquisando%20escolas%20de%20dan&#231;a%20em%20Florian&#243;polis%20e%20curti%20muito%20o%20trabalho%21%20Pergunta%20r&#225;pida%3A%20voc&#234;s%20ainda%20cobram%20as%20mensalidades%20um%20por%20um%" TargetMode="External"/><Relationship Id="rId50" Type="http://schemas.openxmlformats.org/officeDocument/2006/relationships/hyperlink" Target="https://baillarineballet.com.br/" TargetMode="External"/><Relationship Id="rId51" Type="http://schemas.openxmlformats.org/officeDocument/2006/relationships/hyperlink" Target="https://wa.me/5567991685516?text=Oi%2C%20tudo%20bem%3F%20Encontrei%20voc&#234;s%20pesquisando%20escolas%20de%20dan&#231;a%20em%20Campo%20Grande%20e%20curti%20muito%20o%20trabalho%21%20Pergunta%20r&#225;pida%3A%20voc&#234;s%20ainda%20cobram%20as%20mensalidades%20um%20por%20um" TargetMode="External"/><Relationship Id="rId52" Type="http://schemas.openxmlformats.org/officeDocument/2006/relationships/hyperlink" Target="https://duoescoladedanca.com/" TargetMode="External"/><Relationship Id="rId53" Type="http://schemas.openxmlformats.org/officeDocument/2006/relationships/hyperlink" Target="https://wa.me/5531975748477?text=Oi%2C%20tudo%20bem%3F%20Encontrei%20voc&#234;s%20pesquisando%20escolas%20de%20nata&#231;&#227;o%20em%20Belo%20Horizonte%20e%20curti%20muito%20o%20trabalho%21%20Pergunta%20r&#225;pida%3A%20voc&#234;s%20ainda%20cobram%20as%20mensalidades%20um%20por%" TargetMode="External"/><Relationship Id="rId54" Type="http://schemas.openxmlformats.org/officeDocument/2006/relationships/hyperlink" Target="https://flipperacademia.com.br/" TargetMode="External"/><Relationship Id="rId55" Type="http://schemas.openxmlformats.org/officeDocument/2006/relationships/hyperlink" Target="https://wa.me/5531995685283?text=Oi%2C%20tudo%20bem%3F%20Encontrei%20voc&#234;s%20pesquisando%20escolas%20de%20nata&#231;&#227;o%20em%20Belo%20Horizonte%20e%20curti%20muito%20o%20trabalho%21%20Pergunta%20r&#225;pida%3A%20voc&#234;s%20ainda%20cobram%20as%20mensalidades%20um%20por%" TargetMode="External"/><Relationship Id="rId56" Type="http://schemas.openxmlformats.org/officeDocument/2006/relationships/hyperlink" Target="https://www.academiawb.com.br/modalidade/natacao-infantil/" TargetMode="External"/><Relationship Id="rId57" Type="http://schemas.openxmlformats.org/officeDocument/2006/relationships/hyperlink" Target="https://wa.me/5515992797968?text=Oi%2C%20tudo%20bem%3F%20Encontrei%20voc&#234;s%20pesquisando%20cursos%20e%20aulas%20em%20Sorocaba%20e%20curti%20muito%20o%20trabalho%21%20Pergunta%20r&#225;pida%3A%20voc&#234;s%20ainda%20cobram%20as%20mensalidades%20um%20por%20um%20no%20" TargetMode="External"/><Relationship Id="rId58" Type="http://schemas.openxmlformats.org/officeDocument/2006/relationships/hyperlink" Target="https://www.sorocabafacil.com.br/guia/educacao/reforco-escolar.asp?c=186" TargetMode="External"/><Relationship Id="rId59" Type="http://schemas.openxmlformats.org/officeDocument/2006/relationships/hyperlink" Target="https://wa.me/5515996987765?text=Oi%2C%20tudo%20bem%3F%20Encontrei%20voc&#234;s%20pesquisando%20cursos%20e%20aulas%20em%20Sorocaba%20e%20curti%20muito%20o%20trabalho%21%20Pergunta%20r&#225;pida%3A%20voc&#234;s%20ainda%20cobram%20as%20mensalidades%20um%20por%20um%20no%20" TargetMode="External"/><Relationship Id="rId60" Type="http://schemas.openxmlformats.org/officeDocument/2006/relationships/hyperlink" Target="https://www.sorocabafacil.com.br/guia/educacao/reforco-escolar.asp?c=186" TargetMode="External"/><Relationship Id="rId61" Type="http://schemas.openxmlformats.org/officeDocument/2006/relationships/hyperlink" Target="https://wa.me/5515997651556?text=Oi%2C%20tudo%20bem%3F%20Encontrei%20voc&#234;s%20pesquisando%20cursos%20e%20aulas%20em%20Sorocaba%20e%20curti%20muito%20o%20trabalho%21%20Pergunta%20r&#225;pida%3A%20voc&#234;s%20ainda%20cobram%20as%20mensalidades%20um%20por%20um%20no%20" TargetMode="External"/><Relationship Id="rId62" Type="http://schemas.openxmlformats.org/officeDocument/2006/relationships/hyperlink" Target="https://www.sorocabafacil.com.br/guia/educacao/escolas-idiomas.asp?c=180" TargetMode="External"/><Relationship Id="rId63" Type="http://schemas.openxmlformats.org/officeDocument/2006/relationships/hyperlink" Target="https://wa.me/5515997707017?text=Oi%2C%20tudo%20bem%3F%20Encontrei%20voc&#234;s%20pesquisando%20cursos%20e%20aulas%20em%20Sorocaba%20e%20curti%20muito%20o%20trabalho%21%20Pergunta%20r&#225;pida%3A%20voc&#234;s%20ainda%20cobram%20as%20mensalidades%20um%20por%20um%20no%20" TargetMode="External"/><Relationship Id="rId64" Type="http://schemas.openxmlformats.org/officeDocument/2006/relationships/hyperlink" Target="https://www.sorocabafacil.com.br/guia/educacao/aulas-musica.asp?c=38" TargetMode="External"/><Relationship Id="rId65" Type="http://schemas.openxmlformats.org/officeDocument/2006/relationships/hyperlink" Target="https://wa.me/551932728187?text=Oi%2C%20tudo%20bem%3F%20Encontrei%20voc&#234;s%20pesquisando%20cursos%20e%20aulas%20em%20Campinas%20e%20curti%20muito%20o%20trabalho%21%20Pergunta%20r&#225;pida%3A%20voc&#234;s%20ainda%20cobram%20as%20mensalidades%20um%20por%20um%20no%20W" TargetMode="External"/><Relationship Id="rId66" Type="http://schemas.openxmlformats.org/officeDocument/2006/relationships/hyperlink" Target="https://www.escolamaisqi.com/" TargetMode="External"/><Relationship Id="rId67" Type="http://schemas.openxmlformats.org/officeDocument/2006/relationships/hyperlink" Target="https://www.encontrabrasil.com.br/escolinhas-de-futebol/recife-pe" TargetMode="External"/><Relationship Id="rId68" Type="http://schemas.openxmlformats.org/officeDocument/2006/relationships/hyperlink" Target="https://www.bocajuniorscamposeliseos.com.br/" TargetMode="External"/><Relationship Id="rId69" Type="http://schemas.openxmlformats.org/officeDocument/2006/relationships/hyperlink" Target="https://localtreino.com/estudios-de-treinamento-funcional/ribeirao-preto/" TargetMode="External"/><Relationship Id="rId70" Type="http://schemas.openxmlformats.org/officeDocument/2006/relationships/hyperlink" Target="https://biowellnessstudio.com.br/" TargetMode="External"/><Relationship Id="rId71" Type="http://schemas.openxmlformats.org/officeDocument/2006/relationships/hyperlink" Target="https://www.universalacademia.com.br/" TargetMode="External"/><Relationship Id="rId72" Type="http://schemas.openxmlformats.org/officeDocument/2006/relationships/hyperlink" Target="https://www.eisenfit.com.br/" TargetMode="External"/><Relationship Id="rId73" Type="http://schemas.openxmlformats.org/officeDocument/2006/relationships/hyperlink" Target="https://www.facebook.com/poweracademiasports/" TargetMode="External"/><Relationship Id="rId74" Type="http://schemas.openxmlformats.org/officeDocument/2006/relationships/hyperlink" Target="https://academiaoff.com.br/" TargetMode="External"/><Relationship Id="rId75" Type="http://schemas.openxmlformats.org/officeDocument/2006/relationships/hyperlink" Target="https://dojofightschool.com/" TargetMode="External"/><Relationship Id="rId76" Type="http://schemas.openxmlformats.org/officeDocument/2006/relationships/hyperlink" Target="https://www.fcbsfloripa.com.br/" TargetMode="External"/><Relationship Id="rId77" Type="http://schemas.openxmlformats.org/officeDocument/2006/relationships/hyperlink" Target="https://essencial.studio/" TargetMode="External"/><Relationship Id="rId78" Type="http://schemas.openxmlformats.org/officeDocument/2006/relationships/hyperlink" Target="https://wa.me/5531996270826?text=Oi%2C%20tudo%20bem%3F%20Encontrei%20voc&#234;s%20pesquisando%20escolas%20de%20nata&#231;&#227;o%20em%20Belo%20Horizonte%20e%20curti%20muito%20o%20trabalho%21%20Pergunta%20r&#225;pida%3A%20voc&#234;s%20ainda%20cobram%20as%20mensalidades%20um%20por%" TargetMode="External"/><Relationship Id="rId79" Type="http://schemas.openxmlformats.org/officeDocument/2006/relationships/hyperlink" Target="https://jaragua.aqualita.com.br/" TargetMode="External"/><Relationship Id="rId80" Type="http://schemas.openxmlformats.org/officeDocument/2006/relationships/hyperlink" Target="https://www.mergulhobh.com.br/servico/natacao/" TargetMode="External"/><Relationship Id="rId81" Type="http://schemas.openxmlformats.org/officeDocument/2006/relationships/hyperlink" Target="https://academiaspertodemim.com/e/r3-natacao-infantil-appdoq/" TargetMode="External"/><Relationship Id="rId82" Type="http://schemas.openxmlformats.org/officeDocument/2006/relationships/hyperlink" Target="https://www.academiahidrovip.com.br/" TargetMode="External"/><Relationship Id="rId83" Type="http://schemas.openxmlformats.org/officeDocument/2006/relationships/hyperlink" Target="https://www.sorocabafacil.com.br/guia/educacao/escolas-idiomas.asp?c=180" TargetMode="External"/><Relationship Id="rId8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23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23.85" hidden="false" customHeight="false" outlineLevel="0" collapsed="false">
      <c r="A1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5"/>
    <col collapsed="false" customWidth="true" hidden="false" outlineLevel="0" max="7" min="7" style="0" width="20"/>
    <col collapsed="false" customWidth="true" hidden="false" outlineLevel="0" max="8" min="8" style="0" width="19"/>
    <col collapsed="false" customWidth="true" hidden="false" outlineLevel="0" max="9" min="9" style="0" width="13"/>
    <col collapsed="false" customWidth="true" hidden="false" outlineLevel="0" max="10" min="10" style="0" width="28"/>
    <col collapsed="false" customWidth="true" hidden="false" outlineLevel="0" max="11" min="11" style="0" width="44"/>
    <col collapsed="false" customWidth="true" hidden="false" outlineLevel="0" max="12" min="12" style="0" width="19"/>
    <col collapsed="false" customWidth="true" hidden="false" outlineLevel="0" max="13" min="13" style="0" width="13"/>
    <col collapsed="false" customWidth="true" hidden="false" outlineLevel="0" max="14" min="14" style="0" width="28"/>
    <col collapsed="false" customWidth="true" hidden="false" outlineLevel="0" max="15" min="15" style="0" width="13"/>
    <col collapsed="false" customWidth="true" hidden="false" outlineLevel="0" max="16" min="16" style="0" width="10"/>
  </cols>
  <sheetData>
    <row r="1" customFormat="false" ht="30" hidden="false" customHeight="tru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</row>
    <row r="2" customFormat="false" ht="23.85" hidden="false" customHeight="false" outlineLevel="0" collapsed="false">
      <c r="A2" s="5" t="n">
        <v>1</v>
      </c>
      <c r="B2" s="5" t="s">
        <v>25</v>
      </c>
      <c r="C2" s="5" t="s">
        <v>26</v>
      </c>
      <c r="D2" s="6" t="s">
        <v>27</v>
      </c>
      <c r="E2" s="5" t="s">
        <v>28</v>
      </c>
      <c r="F2" s="5" t="s">
        <v>29</v>
      </c>
      <c r="G2" s="6" t="s">
        <v>30</v>
      </c>
      <c r="H2" s="5" t="s">
        <v>31</v>
      </c>
      <c r="I2" s="7" t="s">
        <v>32</v>
      </c>
      <c r="J2" s="6"/>
      <c r="K2" s="6" t="s">
        <v>33</v>
      </c>
      <c r="L2" s="5" t="s">
        <v>34</v>
      </c>
      <c r="M2" s="8"/>
      <c r="N2" s="6"/>
      <c r="O2" s="8"/>
      <c r="P2" s="7" t="s">
        <v>35</v>
      </c>
    </row>
    <row r="3" customFormat="false" ht="15" hidden="false" customHeight="false" outlineLevel="0" collapsed="false">
      <c r="A3" s="5" t="n">
        <v>2</v>
      </c>
      <c r="B3" s="5" t="s">
        <v>25</v>
      </c>
      <c r="C3" s="5" t="s">
        <v>26</v>
      </c>
      <c r="D3" s="6" t="s">
        <v>36</v>
      </c>
      <c r="E3" s="5" t="s">
        <v>37</v>
      </c>
      <c r="F3" s="5" t="s">
        <v>29</v>
      </c>
      <c r="G3" s="6"/>
      <c r="H3" s="5" t="s">
        <v>38</v>
      </c>
      <c r="I3" s="7" t="s">
        <v>32</v>
      </c>
      <c r="J3" s="6"/>
      <c r="K3" s="6" t="s">
        <v>39</v>
      </c>
      <c r="L3" s="5" t="s">
        <v>34</v>
      </c>
      <c r="M3" s="8"/>
      <c r="N3" s="6"/>
      <c r="O3" s="8"/>
      <c r="P3" s="7" t="s">
        <v>35</v>
      </c>
    </row>
    <row r="4" customFormat="false" ht="15" hidden="false" customHeight="false" outlineLevel="0" collapsed="false">
      <c r="A4" s="5" t="n">
        <v>3</v>
      </c>
      <c r="B4" s="5" t="s">
        <v>25</v>
      </c>
      <c r="C4" s="5" t="s">
        <v>26</v>
      </c>
      <c r="D4" s="6" t="s">
        <v>40</v>
      </c>
      <c r="E4" s="5" t="s">
        <v>37</v>
      </c>
      <c r="F4" s="5" t="s">
        <v>29</v>
      </c>
      <c r="G4" s="6"/>
      <c r="H4" s="5" t="s">
        <v>41</v>
      </c>
      <c r="I4" s="7" t="s">
        <v>32</v>
      </c>
      <c r="J4" s="6"/>
      <c r="K4" s="6" t="s">
        <v>42</v>
      </c>
      <c r="L4" s="5" t="s">
        <v>34</v>
      </c>
      <c r="M4" s="8"/>
      <c r="N4" s="6"/>
      <c r="O4" s="8"/>
      <c r="P4" s="7" t="s">
        <v>35</v>
      </c>
    </row>
    <row r="5" customFormat="false" ht="23.85" hidden="false" customHeight="false" outlineLevel="0" collapsed="false">
      <c r="A5" s="5" t="n">
        <v>4</v>
      </c>
      <c r="B5" s="5" t="s">
        <v>25</v>
      </c>
      <c r="C5" s="5" t="s">
        <v>26</v>
      </c>
      <c r="D5" s="6" t="s">
        <v>43</v>
      </c>
      <c r="E5" s="5" t="s">
        <v>44</v>
      </c>
      <c r="F5" s="5" t="s">
        <v>45</v>
      </c>
      <c r="G5" s="6" t="s">
        <v>46</v>
      </c>
      <c r="H5" s="5" t="s">
        <v>47</v>
      </c>
      <c r="I5" s="7" t="s">
        <v>32</v>
      </c>
      <c r="J5" s="6" t="s">
        <v>48</v>
      </c>
      <c r="K5" s="6" t="s">
        <v>49</v>
      </c>
      <c r="L5" s="5" t="s">
        <v>34</v>
      </c>
      <c r="M5" s="8"/>
      <c r="N5" s="6"/>
      <c r="O5" s="8"/>
      <c r="P5" s="7" t="s">
        <v>35</v>
      </c>
    </row>
    <row r="6" customFormat="false" ht="15" hidden="false" customHeight="false" outlineLevel="0" collapsed="false">
      <c r="A6" s="5" t="n">
        <v>5</v>
      </c>
      <c r="B6" s="5" t="s">
        <v>25</v>
      </c>
      <c r="C6" s="5" t="s">
        <v>50</v>
      </c>
      <c r="D6" s="6" t="s">
        <v>51</v>
      </c>
      <c r="E6" s="5" t="s">
        <v>52</v>
      </c>
      <c r="F6" s="5" t="s">
        <v>53</v>
      </c>
      <c r="G6" s="6" t="s">
        <v>54</v>
      </c>
      <c r="H6" s="5" t="s">
        <v>55</v>
      </c>
      <c r="I6" s="7" t="s">
        <v>32</v>
      </c>
      <c r="J6" s="6" t="s">
        <v>56</v>
      </c>
      <c r="K6" s="6" t="s">
        <v>57</v>
      </c>
      <c r="L6" s="5" t="s">
        <v>34</v>
      </c>
      <c r="M6" s="8"/>
      <c r="N6" s="6"/>
      <c r="O6" s="8"/>
      <c r="P6" s="7" t="s">
        <v>35</v>
      </c>
    </row>
    <row r="7" customFormat="false" ht="15" hidden="false" customHeight="false" outlineLevel="0" collapsed="false">
      <c r="A7" s="5" t="n">
        <v>6</v>
      </c>
      <c r="B7" s="5" t="s">
        <v>25</v>
      </c>
      <c r="C7" s="5" t="s">
        <v>50</v>
      </c>
      <c r="D7" s="6" t="s">
        <v>58</v>
      </c>
      <c r="E7" s="5" t="s">
        <v>59</v>
      </c>
      <c r="F7" s="5" t="s">
        <v>29</v>
      </c>
      <c r="G7" s="6" t="s">
        <v>54</v>
      </c>
      <c r="H7" s="5" t="s">
        <v>60</v>
      </c>
      <c r="I7" s="7" t="s">
        <v>32</v>
      </c>
      <c r="J7" s="6" t="s">
        <v>61</v>
      </c>
      <c r="K7" s="6" t="s">
        <v>62</v>
      </c>
      <c r="L7" s="5" t="s">
        <v>34</v>
      </c>
      <c r="M7" s="8"/>
      <c r="N7" s="6"/>
      <c r="O7" s="8"/>
      <c r="P7" s="7" t="s">
        <v>35</v>
      </c>
    </row>
    <row r="8" customFormat="false" ht="15" hidden="false" customHeight="false" outlineLevel="0" collapsed="false">
      <c r="A8" s="5" t="n">
        <v>7</v>
      </c>
      <c r="B8" s="5" t="s">
        <v>25</v>
      </c>
      <c r="C8" s="5" t="s">
        <v>50</v>
      </c>
      <c r="D8" s="6" t="s">
        <v>63</v>
      </c>
      <c r="E8" s="5" t="s">
        <v>59</v>
      </c>
      <c r="F8" s="5" t="s">
        <v>29</v>
      </c>
      <c r="G8" s="6" t="s">
        <v>64</v>
      </c>
      <c r="H8" s="5" t="s">
        <v>65</v>
      </c>
      <c r="I8" s="7" t="s">
        <v>32</v>
      </c>
      <c r="J8" s="6"/>
      <c r="K8" s="6" t="s">
        <v>66</v>
      </c>
      <c r="L8" s="5" t="s">
        <v>34</v>
      </c>
      <c r="M8" s="8"/>
      <c r="N8" s="6"/>
      <c r="O8" s="8"/>
      <c r="P8" s="7" t="s">
        <v>35</v>
      </c>
    </row>
    <row r="9" customFormat="false" ht="15" hidden="false" customHeight="false" outlineLevel="0" collapsed="false">
      <c r="A9" s="5" t="n">
        <v>8</v>
      </c>
      <c r="B9" s="5" t="s">
        <v>25</v>
      </c>
      <c r="C9" s="5" t="s">
        <v>50</v>
      </c>
      <c r="D9" s="6" t="s">
        <v>67</v>
      </c>
      <c r="E9" s="5" t="s">
        <v>59</v>
      </c>
      <c r="F9" s="5" t="s">
        <v>29</v>
      </c>
      <c r="G9" s="6"/>
      <c r="H9" s="5" t="s">
        <v>68</v>
      </c>
      <c r="I9" s="7" t="s">
        <v>32</v>
      </c>
      <c r="J9" s="6"/>
      <c r="K9" s="6" t="s">
        <v>69</v>
      </c>
      <c r="L9" s="5" t="s">
        <v>34</v>
      </c>
      <c r="M9" s="8"/>
      <c r="N9" s="6"/>
      <c r="O9" s="8"/>
      <c r="P9" s="7" t="s">
        <v>35</v>
      </c>
    </row>
    <row r="10" customFormat="false" ht="15" hidden="false" customHeight="false" outlineLevel="0" collapsed="false">
      <c r="A10" s="5" t="n">
        <v>9</v>
      </c>
      <c r="B10" s="5" t="s">
        <v>25</v>
      </c>
      <c r="C10" s="5" t="s">
        <v>50</v>
      </c>
      <c r="D10" s="6" t="s">
        <v>70</v>
      </c>
      <c r="E10" s="5" t="s">
        <v>71</v>
      </c>
      <c r="F10" s="5" t="s">
        <v>29</v>
      </c>
      <c r="G10" s="6" t="s">
        <v>72</v>
      </c>
      <c r="H10" s="5" t="s">
        <v>73</v>
      </c>
      <c r="I10" s="7" t="s">
        <v>32</v>
      </c>
      <c r="J10" s="6"/>
      <c r="K10" s="6" t="s">
        <v>74</v>
      </c>
      <c r="L10" s="5" t="s">
        <v>34</v>
      </c>
      <c r="M10" s="8"/>
      <c r="N10" s="6"/>
      <c r="O10" s="8"/>
      <c r="P10" s="7" t="s">
        <v>35</v>
      </c>
    </row>
    <row r="11" customFormat="false" ht="15" hidden="false" customHeight="false" outlineLevel="0" collapsed="false">
      <c r="A11" s="5" t="n">
        <v>10</v>
      </c>
      <c r="B11" s="5" t="s">
        <v>25</v>
      </c>
      <c r="C11" s="5" t="s">
        <v>50</v>
      </c>
      <c r="D11" s="6" t="s">
        <v>75</v>
      </c>
      <c r="E11" s="5" t="s">
        <v>71</v>
      </c>
      <c r="F11" s="5" t="s">
        <v>29</v>
      </c>
      <c r="G11" s="6" t="s">
        <v>76</v>
      </c>
      <c r="H11" s="5" t="s">
        <v>77</v>
      </c>
      <c r="I11" s="7" t="s">
        <v>32</v>
      </c>
      <c r="J11" s="6" t="s">
        <v>78</v>
      </c>
      <c r="K11" s="6" t="s">
        <v>79</v>
      </c>
      <c r="L11" s="5" t="s">
        <v>34</v>
      </c>
      <c r="M11" s="8"/>
      <c r="N11" s="6"/>
      <c r="O11" s="8"/>
      <c r="P11" s="7" t="s">
        <v>35</v>
      </c>
    </row>
    <row r="12" customFormat="false" ht="15" hidden="false" customHeight="false" outlineLevel="0" collapsed="false">
      <c r="A12" s="5" t="n">
        <v>11</v>
      </c>
      <c r="B12" s="5" t="s">
        <v>25</v>
      </c>
      <c r="C12" s="5" t="s">
        <v>80</v>
      </c>
      <c r="D12" s="6" t="s">
        <v>81</v>
      </c>
      <c r="E12" s="5" t="s">
        <v>82</v>
      </c>
      <c r="F12" s="5" t="s">
        <v>83</v>
      </c>
      <c r="G12" s="6" t="s">
        <v>84</v>
      </c>
      <c r="H12" s="5" t="s">
        <v>85</v>
      </c>
      <c r="I12" s="7" t="s">
        <v>32</v>
      </c>
      <c r="J12" s="6" t="s">
        <v>86</v>
      </c>
      <c r="K12" s="6" t="s">
        <v>87</v>
      </c>
      <c r="L12" s="5" t="s">
        <v>34</v>
      </c>
      <c r="M12" s="8"/>
      <c r="N12" s="6"/>
      <c r="O12" s="8"/>
      <c r="P12" s="7" t="s">
        <v>35</v>
      </c>
    </row>
    <row r="13" customFormat="false" ht="15" hidden="false" customHeight="false" outlineLevel="0" collapsed="false">
      <c r="A13" s="5" t="n">
        <v>12</v>
      </c>
      <c r="B13" s="5" t="s">
        <v>25</v>
      </c>
      <c r="C13" s="5" t="s">
        <v>80</v>
      </c>
      <c r="D13" s="6" t="s">
        <v>88</v>
      </c>
      <c r="E13" s="5" t="s">
        <v>82</v>
      </c>
      <c r="F13" s="5" t="s">
        <v>83</v>
      </c>
      <c r="G13" s="6"/>
      <c r="H13" s="5" t="s">
        <v>89</v>
      </c>
      <c r="I13" s="7" t="s">
        <v>32</v>
      </c>
      <c r="J13" s="6" t="s">
        <v>90</v>
      </c>
      <c r="K13" s="6" t="s">
        <v>91</v>
      </c>
      <c r="L13" s="5" t="s">
        <v>34</v>
      </c>
      <c r="M13" s="8"/>
      <c r="N13" s="6"/>
      <c r="O13" s="8"/>
      <c r="P13" s="7" t="s">
        <v>35</v>
      </c>
    </row>
    <row r="14" customFormat="false" ht="15" hidden="false" customHeight="false" outlineLevel="0" collapsed="false">
      <c r="A14" s="5" t="n">
        <v>13</v>
      </c>
      <c r="B14" s="5" t="s">
        <v>25</v>
      </c>
      <c r="C14" s="5" t="s">
        <v>80</v>
      </c>
      <c r="D14" s="6" t="s">
        <v>92</v>
      </c>
      <c r="E14" s="5" t="s">
        <v>82</v>
      </c>
      <c r="F14" s="5" t="s">
        <v>83</v>
      </c>
      <c r="G14" s="6"/>
      <c r="H14" s="5" t="s">
        <v>93</v>
      </c>
      <c r="I14" s="7" t="s">
        <v>32</v>
      </c>
      <c r="J14" s="6" t="s">
        <v>94</v>
      </c>
      <c r="K14" s="6" t="s">
        <v>95</v>
      </c>
      <c r="L14" s="5" t="s">
        <v>34</v>
      </c>
      <c r="M14" s="8"/>
      <c r="N14" s="6"/>
      <c r="O14" s="8"/>
      <c r="P14" s="7" t="s">
        <v>35</v>
      </c>
    </row>
    <row r="15" customFormat="false" ht="15" hidden="false" customHeight="false" outlineLevel="0" collapsed="false">
      <c r="A15" s="5" t="n">
        <v>14</v>
      </c>
      <c r="B15" s="5" t="s">
        <v>25</v>
      </c>
      <c r="C15" s="5" t="s">
        <v>80</v>
      </c>
      <c r="D15" s="6" t="s">
        <v>96</v>
      </c>
      <c r="E15" s="5" t="s">
        <v>82</v>
      </c>
      <c r="F15" s="5" t="s">
        <v>83</v>
      </c>
      <c r="G15" s="6"/>
      <c r="H15" s="5" t="s">
        <v>97</v>
      </c>
      <c r="I15" s="7" t="s">
        <v>32</v>
      </c>
      <c r="J15" s="6"/>
      <c r="K15" s="6" t="s">
        <v>98</v>
      </c>
      <c r="L15" s="5" t="s">
        <v>34</v>
      </c>
      <c r="M15" s="8"/>
      <c r="N15" s="6"/>
      <c r="O15" s="8"/>
      <c r="P15" s="7" t="s">
        <v>35</v>
      </c>
    </row>
    <row r="16" customFormat="false" ht="15" hidden="false" customHeight="false" outlineLevel="0" collapsed="false">
      <c r="A16" s="5" t="n">
        <v>15</v>
      </c>
      <c r="B16" s="5" t="s">
        <v>25</v>
      </c>
      <c r="C16" s="5" t="s">
        <v>80</v>
      </c>
      <c r="D16" s="6" t="s">
        <v>99</v>
      </c>
      <c r="E16" s="5" t="s">
        <v>82</v>
      </c>
      <c r="F16" s="5" t="s">
        <v>83</v>
      </c>
      <c r="G16" s="6"/>
      <c r="H16" s="5" t="s">
        <v>100</v>
      </c>
      <c r="I16" s="7" t="s">
        <v>32</v>
      </c>
      <c r="J16" s="6"/>
      <c r="K16" s="6" t="s">
        <v>98</v>
      </c>
      <c r="L16" s="5" t="s">
        <v>34</v>
      </c>
      <c r="M16" s="8"/>
      <c r="N16" s="6"/>
      <c r="O16" s="8"/>
      <c r="P16" s="7" t="s">
        <v>35</v>
      </c>
    </row>
    <row r="17" customFormat="false" ht="15" hidden="false" customHeight="false" outlineLevel="0" collapsed="false">
      <c r="A17" s="5" t="n">
        <v>16</v>
      </c>
      <c r="B17" s="5" t="s">
        <v>25</v>
      </c>
      <c r="C17" s="5" t="s">
        <v>80</v>
      </c>
      <c r="D17" s="6" t="s">
        <v>101</v>
      </c>
      <c r="E17" s="5" t="s">
        <v>82</v>
      </c>
      <c r="F17" s="5" t="s">
        <v>83</v>
      </c>
      <c r="G17" s="6"/>
      <c r="H17" s="5" t="s">
        <v>102</v>
      </c>
      <c r="I17" s="7" t="s">
        <v>32</v>
      </c>
      <c r="J17" s="6" t="s">
        <v>103</v>
      </c>
      <c r="K17" s="6" t="s">
        <v>98</v>
      </c>
      <c r="L17" s="5" t="s">
        <v>34</v>
      </c>
      <c r="M17" s="8"/>
      <c r="N17" s="6"/>
      <c r="O17" s="8"/>
      <c r="P17" s="7" t="s">
        <v>35</v>
      </c>
    </row>
    <row r="18" customFormat="false" ht="15" hidden="false" customHeight="false" outlineLevel="0" collapsed="false">
      <c r="A18" s="5" t="n">
        <v>17</v>
      </c>
      <c r="B18" s="5" t="s">
        <v>25</v>
      </c>
      <c r="C18" s="5" t="s">
        <v>80</v>
      </c>
      <c r="D18" s="6" t="s">
        <v>104</v>
      </c>
      <c r="E18" s="5" t="s">
        <v>82</v>
      </c>
      <c r="F18" s="5" t="s">
        <v>83</v>
      </c>
      <c r="G18" s="6"/>
      <c r="H18" s="5" t="s">
        <v>105</v>
      </c>
      <c r="I18" s="7" t="s">
        <v>32</v>
      </c>
      <c r="J18" s="6"/>
      <c r="K18" s="6" t="s">
        <v>106</v>
      </c>
      <c r="L18" s="5" t="s">
        <v>34</v>
      </c>
      <c r="M18" s="8"/>
      <c r="N18" s="6"/>
      <c r="O18" s="8"/>
      <c r="P18" s="7" t="s">
        <v>35</v>
      </c>
    </row>
    <row r="19" customFormat="false" ht="15" hidden="false" customHeight="false" outlineLevel="0" collapsed="false">
      <c r="A19" s="5" t="n">
        <v>18</v>
      </c>
      <c r="B19" s="5" t="s">
        <v>25</v>
      </c>
      <c r="C19" s="5" t="s">
        <v>80</v>
      </c>
      <c r="D19" s="6" t="s">
        <v>107</v>
      </c>
      <c r="E19" s="5" t="s">
        <v>108</v>
      </c>
      <c r="F19" s="5" t="s">
        <v>109</v>
      </c>
      <c r="G19" s="6" t="s">
        <v>110</v>
      </c>
      <c r="H19" s="5" t="s">
        <v>111</v>
      </c>
      <c r="I19" s="7" t="s">
        <v>32</v>
      </c>
      <c r="J19" s="6" t="s">
        <v>112</v>
      </c>
      <c r="K19" s="6" t="s">
        <v>113</v>
      </c>
      <c r="L19" s="5" t="s">
        <v>34</v>
      </c>
      <c r="M19" s="8"/>
      <c r="N19" s="6"/>
      <c r="O19" s="8"/>
      <c r="P19" s="7" t="s">
        <v>35</v>
      </c>
    </row>
    <row r="20" customFormat="false" ht="15" hidden="false" customHeight="false" outlineLevel="0" collapsed="false">
      <c r="A20" s="5" t="n">
        <v>19</v>
      </c>
      <c r="B20" s="5" t="s">
        <v>25</v>
      </c>
      <c r="C20" s="5" t="s">
        <v>80</v>
      </c>
      <c r="D20" s="6" t="s">
        <v>114</v>
      </c>
      <c r="E20" s="5" t="s">
        <v>108</v>
      </c>
      <c r="F20" s="5" t="s">
        <v>109</v>
      </c>
      <c r="G20" s="6" t="s">
        <v>115</v>
      </c>
      <c r="H20" s="5" t="s">
        <v>116</v>
      </c>
      <c r="I20" s="7" t="s">
        <v>32</v>
      </c>
      <c r="J20" s="6" t="s">
        <v>117</v>
      </c>
      <c r="K20" s="6" t="s">
        <v>118</v>
      </c>
      <c r="L20" s="5" t="s">
        <v>34</v>
      </c>
      <c r="M20" s="8"/>
      <c r="N20" s="6"/>
      <c r="O20" s="8"/>
      <c r="P20" s="7" t="s">
        <v>35</v>
      </c>
    </row>
    <row r="21" customFormat="false" ht="15" hidden="false" customHeight="false" outlineLevel="0" collapsed="false">
      <c r="A21" s="5" t="n">
        <v>20</v>
      </c>
      <c r="B21" s="5" t="s">
        <v>25</v>
      </c>
      <c r="C21" s="5" t="s">
        <v>80</v>
      </c>
      <c r="D21" s="6" t="s">
        <v>119</v>
      </c>
      <c r="E21" s="5" t="s">
        <v>120</v>
      </c>
      <c r="F21" s="5" t="s">
        <v>109</v>
      </c>
      <c r="G21" s="6"/>
      <c r="H21" s="5" t="s">
        <v>121</v>
      </c>
      <c r="I21" s="7" t="s">
        <v>32</v>
      </c>
      <c r="J21" s="6" t="s">
        <v>122</v>
      </c>
      <c r="K21" s="6" t="s">
        <v>123</v>
      </c>
      <c r="L21" s="5" t="s">
        <v>34</v>
      </c>
      <c r="M21" s="8"/>
      <c r="N21" s="6"/>
      <c r="O21" s="8"/>
      <c r="P21" s="7" t="s">
        <v>35</v>
      </c>
    </row>
    <row r="22" customFormat="false" ht="15" hidden="false" customHeight="false" outlineLevel="0" collapsed="false">
      <c r="A22" s="5" t="n">
        <v>21</v>
      </c>
      <c r="B22" s="5" t="s">
        <v>25</v>
      </c>
      <c r="C22" s="5" t="s">
        <v>80</v>
      </c>
      <c r="D22" s="6" t="s">
        <v>124</v>
      </c>
      <c r="E22" s="5" t="s">
        <v>120</v>
      </c>
      <c r="F22" s="5" t="s">
        <v>109</v>
      </c>
      <c r="G22" s="6"/>
      <c r="H22" s="5" t="s">
        <v>125</v>
      </c>
      <c r="I22" s="7" t="s">
        <v>32</v>
      </c>
      <c r="J22" s="6" t="s">
        <v>126</v>
      </c>
      <c r="K22" s="6" t="s">
        <v>106</v>
      </c>
      <c r="L22" s="5" t="s">
        <v>34</v>
      </c>
      <c r="M22" s="8"/>
      <c r="N22" s="6"/>
      <c r="O22" s="8"/>
      <c r="P22" s="7" t="s">
        <v>35</v>
      </c>
    </row>
    <row r="23" customFormat="false" ht="15" hidden="false" customHeight="false" outlineLevel="0" collapsed="false">
      <c r="A23" s="5" t="n">
        <v>22</v>
      </c>
      <c r="B23" s="5" t="s">
        <v>25</v>
      </c>
      <c r="C23" s="5" t="s">
        <v>127</v>
      </c>
      <c r="D23" s="6" t="s">
        <v>128</v>
      </c>
      <c r="E23" s="5" t="s">
        <v>129</v>
      </c>
      <c r="F23" s="5" t="s">
        <v>109</v>
      </c>
      <c r="G23" s="6" t="s">
        <v>54</v>
      </c>
      <c r="H23" s="5" t="s">
        <v>130</v>
      </c>
      <c r="I23" s="7" t="s">
        <v>32</v>
      </c>
      <c r="J23" s="6" t="s">
        <v>131</v>
      </c>
      <c r="K23" s="6" t="s">
        <v>132</v>
      </c>
      <c r="L23" s="5" t="s">
        <v>34</v>
      </c>
      <c r="M23" s="8"/>
      <c r="N23" s="6"/>
      <c r="O23" s="8"/>
      <c r="P23" s="7" t="s">
        <v>35</v>
      </c>
    </row>
    <row r="24" customFormat="false" ht="15" hidden="false" customHeight="false" outlineLevel="0" collapsed="false">
      <c r="A24" s="5" t="n">
        <v>23</v>
      </c>
      <c r="B24" s="5" t="s">
        <v>25</v>
      </c>
      <c r="C24" s="5" t="s">
        <v>127</v>
      </c>
      <c r="D24" s="6" t="s">
        <v>133</v>
      </c>
      <c r="E24" s="5" t="s">
        <v>129</v>
      </c>
      <c r="F24" s="5" t="s">
        <v>109</v>
      </c>
      <c r="G24" s="6" t="s">
        <v>134</v>
      </c>
      <c r="H24" s="5" t="s">
        <v>135</v>
      </c>
      <c r="I24" s="7" t="s">
        <v>32</v>
      </c>
      <c r="J24" s="6" t="s">
        <v>136</v>
      </c>
      <c r="K24" s="6" t="s">
        <v>137</v>
      </c>
      <c r="L24" s="5" t="s">
        <v>34</v>
      </c>
      <c r="M24" s="8"/>
      <c r="N24" s="6"/>
      <c r="O24" s="8"/>
      <c r="P24" s="7" t="s">
        <v>35</v>
      </c>
    </row>
    <row r="25" customFormat="false" ht="15" hidden="false" customHeight="false" outlineLevel="0" collapsed="false">
      <c r="A25" s="5" t="n">
        <v>24</v>
      </c>
      <c r="B25" s="5" t="s">
        <v>25</v>
      </c>
      <c r="C25" s="5" t="s">
        <v>127</v>
      </c>
      <c r="D25" s="6" t="s">
        <v>138</v>
      </c>
      <c r="E25" s="5" t="s">
        <v>129</v>
      </c>
      <c r="F25" s="5" t="s">
        <v>109</v>
      </c>
      <c r="G25" s="6"/>
      <c r="H25" s="5" t="s">
        <v>139</v>
      </c>
      <c r="I25" s="7" t="s">
        <v>32</v>
      </c>
      <c r="J25" s="6" t="s">
        <v>140</v>
      </c>
      <c r="K25" s="6" t="s">
        <v>141</v>
      </c>
      <c r="L25" s="5" t="s">
        <v>34</v>
      </c>
      <c r="M25" s="8"/>
      <c r="N25" s="6"/>
      <c r="O25" s="8"/>
      <c r="P25" s="7" t="s">
        <v>35</v>
      </c>
    </row>
    <row r="26" customFormat="false" ht="23.85" hidden="false" customHeight="false" outlineLevel="0" collapsed="false">
      <c r="A26" s="5" t="n">
        <v>25</v>
      </c>
      <c r="B26" s="5" t="s">
        <v>25</v>
      </c>
      <c r="C26" s="5" t="s">
        <v>127</v>
      </c>
      <c r="D26" s="6" t="s">
        <v>142</v>
      </c>
      <c r="E26" s="5" t="s">
        <v>143</v>
      </c>
      <c r="F26" s="5" t="s">
        <v>144</v>
      </c>
      <c r="G26" s="6" t="s">
        <v>145</v>
      </c>
      <c r="H26" s="5" t="s">
        <v>146</v>
      </c>
      <c r="I26" s="7" t="s">
        <v>32</v>
      </c>
      <c r="J26" s="6" t="s">
        <v>147</v>
      </c>
      <c r="K26" s="6" t="s">
        <v>148</v>
      </c>
      <c r="L26" s="5" t="s">
        <v>34</v>
      </c>
      <c r="M26" s="8"/>
      <c r="N26" s="6"/>
      <c r="O26" s="8"/>
      <c r="P26" s="7" t="s">
        <v>35</v>
      </c>
    </row>
    <row r="27" customFormat="false" ht="15" hidden="false" customHeight="false" outlineLevel="0" collapsed="false">
      <c r="A27" s="5" t="n">
        <v>26</v>
      </c>
      <c r="B27" s="5" t="s">
        <v>25</v>
      </c>
      <c r="C27" s="5" t="s">
        <v>127</v>
      </c>
      <c r="D27" s="6" t="s">
        <v>149</v>
      </c>
      <c r="E27" s="5" t="s">
        <v>150</v>
      </c>
      <c r="F27" s="5" t="s">
        <v>151</v>
      </c>
      <c r="G27" s="6" t="s">
        <v>152</v>
      </c>
      <c r="H27" s="5" t="s">
        <v>153</v>
      </c>
      <c r="I27" s="7" t="s">
        <v>32</v>
      </c>
      <c r="J27" s="6" t="s">
        <v>154</v>
      </c>
      <c r="K27" s="6" t="s">
        <v>155</v>
      </c>
      <c r="L27" s="5" t="s">
        <v>34</v>
      </c>
      <c r="M27" s="8"/>
      <c r="N27" s="6"/>
      <c r="O27" s="8"/>
      <c r="P27" s="7" t="s">
        <v>35</v>
      </c>
    </row>
    <row r="28" customFormat="false" ht="15" hidden="false" customHeight="false" outlineLevel="0" collapsed="false">
      <c r="A28" s="5" t="n">
        <v>27</v>
      </c>
      <c r="B28" s="5" t="s">
        <v>25</v>
      </c>
      <c r="C28" s="5" t="s">
        <v>156</v>
      </c>
      <c r="D28" s="6" t="s">
        <v>157</v>
      </c>
      <c r="E28" s="5" t="s">
        <v>158</v>
      </c>
      <c r="F28" s="5" t="s">
        <v>53</v>
      </c>
      <c r="G28" s="6" t="s">
        <v>159</v>
      </c>
      <c r="H28" s="5" t="s">
        <v>160</v>
      </c>
      <c r="I28" s="7" t="s">
        <v>32</v>
      </c>
      <c r="J28" s="6" t="s">
        <v>161</v>
      </c>
      <c r="K28" s="6" t="s">
        <v>162</v>
      </c>
      <c r="L28" s="5" t="s">
        <v>34</v>
      </c>
      <c r="M28" s="8"/>
      <c r="N28" s="6"/>
      <c r="O28" s="8"/>
      <c r="P28" s="7" t="s">
        <v>35</v>
      </c>
    </row>
    <row r="29" customFormat="false" ht="15" hidden="false" customHeight="false" outlineLevel="0" collapsed="false">
      <c r="A29" s="5" t="n">
        <v>28</v>
      </c>
      <c r="B29" s="5" t="s">
        <v>25</v>
      </c>
      <c r="C29" s="5" t="s">
        <v>156</v>
      </c>
      <c r="D29" s="6" t="s">
        <v>163</v>
      </c>
      <c r="E29" s="5" t="s">
        <v>158</v>
      </c>
      <c r="F29" s="5" t="s">
        <v>53</v>
      </c>
      <c r="G29" s="6" t="s">
        <v>164</v>
      </c>
      <c r="H29" s="5" t="s">
        <v>165</v>
      </c>
      <c r="I29" s="7" t="s">
        <v>32</v>
      </c>
      <c r="J29" s="6" t="s">
        <v>166</v>
      </c>
      <c r="K29" s="6" t="s">
        <v>167</v>
      </c>
      <c r="L29" s="5" t="s">
        <v>34</v>
      </c>
      <c r="M29" s="8"/>
      <c r="N29" s="6"/>
      <c r="O29" s="8"/>
      <c r="P29" s="7" t="s">
        <v>35</v>
      </c>
    </row>
    <row r="30" customFormat="false" ht="15" hidden="false" customHeight="false" outlineLevel="0" collapsed="false">
      <c r="A30" s="5" t="n">
        <v>29</v>
      </c>
      <c r="B30" s="5" t="s">
        <v>25</v>
      </c>
      <c r="C30" s="5" t="s">
        <v>168</v>
      </c>
      <c r="D30" s="6" t="s">
        <v>169</v>
      </c>
      <c r="E30" s="5" t="s">
        <v>170</v>
      </c>
      <c r="F30" s="5" t="s">
        <v>29</v>
      </c>
      <c r="G30" s="6" t="s">
        <v>171</v>
      </c>
      <c r="H30" s="5" t="s">
        <v>172</v>
      </c>
      <c r="I30" s="7" t="s">
        <v>32</v>
      </c>
      <c r="J30" s="6"/>
      <c r="K30" s="6" t="s">
        <v>173</v>
      </c>
      <c r="L30" s="5" t="s">
        <v>34</v>
      </c>
      <c r="M30" s="8"/>
      <c r="N30" s="6"/>
      <c r="O30" s="8"/>
      <c r="P30" s="7" t="s">
        <v>35</v>
      </c>
    </row>
    <row r="31" customFormat="false" ht="15" hidden="false" customHeight="false" outlineLevel="0" collapsed="false">
      <c r="A31" s="5" t="n">
        <v>30</v>
      </c>
      <c r="B31" s="5" t="s">
        <v>25</v>
      </c>
      <c r="C31" s="5" t="s">
        <v>168</v>
      </c>
      <c r="D31" s="6" t="s">
        <v>174</v>
      </c>
      <c r="E31" s="5" t="s">
        <v>170</v>
      </c>
      <c r="F31" s="5" t="s">
        <v>29</v>
      </c>
      <c r="G31" s="6"/>
      <c r="H31" s="5" t="s">
        <v>175</v>
      </c>
      <c r="I31" s="7" t="s">
        <v>32</v>
      </c>
      <c r="J31" s="6"/>
      <c r="K31" s="6" t="s">
        <v>173</v>
      </c>
      <c r="L31" s="5" t="s">
        <v>34</v>
      </c>
      <c r="M31" s="8"/>
      <c r="N31" s="6"/>
      <c r="O31" s="8"/>
      <c r="P31" s="7" t="s">
        <v>35</v>
      </c>
    </row>
    <row r="32" customFormat="false" ht="15" hidden="false" customHeight="false" outlineLevel="0" collapsed="false">
      <c r="A32" s="5" t="n">
        <v>31</v>
      </c>
      <c r="B32" s="5" t="s">
        <v>25</v>
      </c>
      <c r="C32" s="5" t="s">
        <v>168</v>
      </c>
      <c r="D32" s="6" t="s">
        <v>176</v>
      </c>
      <c r="E32" s="5" t="s">
        <v>170</v>
      </c>
      <c r="F32" s="5" t="s">
        <v>29</v>
      </c>
      <c r="G32" s="6"/>
      <c r="H32" s="5" t="s">
        <v>177</v>
      </c>
      <c r="I32" s="7" t="s">
        <v>32</v>
      </c>
      <c r="J32" s="6"/>
      <c r="K32" s="6" t="s">
        <v>178</v>
      </c>
      <c r="L32" s="5" t="s">
        <v>34</v>
      </c>
      <c r="M32" s="8"/>
      <c r="N32" s="6"/>
      <c r="O32" s="8"/>
      <c r="P32" s="7" t="s">
        <v>35</v>
      </c>
    </row>
    <row r="33" customFormat="false" ht="15" hidden="false" customHeight="false" outlineLevel="0" collapsed="false">
      <c r="A33" s="5" t="n">
        <v>32</v>
      </c>
      <c r="B33" s="5" t="s">
        <v>25</v>
      </c>
      <c r="C33" s="5" t="s">
        <v>168</v>
      </c>
      <c r="D33" s="6" t="s">
        <v>179</v>
      </c>
      <c r="E33" s="5" t="s">
        <v>170</v>
      </c>
      <c r="F33" s="5" t="s">
        <v>29</v>
      </c>
      <c r="G33" s="6" t="s">
        <v>180</v>
      </c>
      <c r="H33" s="5" t="s">
        <v>181</v>
      </c>
      <c r="I33" s="7" t="s">
        <v>32</v>
      </c>
      <c r="J33" s="6"/>
      <c r="K33" s="6" t="s">
        <v>182</v>
      </c>
      <c r="L33" s="5" t="s">
        <v>34</v>
      </c>
      <c r="M33" s="8"/>
      <c r="N33" s="6"/>
      <c r="O33" s="8"/>
      <c r="P33" s="7" t="s">
        <v>35</v>
      </c>
    </row>
    <row r="34" customFormat="false" ht="23.85" hidden="false" customHeight="false" outlineLevel="0" collapsed="false">
      <c r="A34" s="5" t="n">
        <v>33</v>
      </c>
      <c r="B34" s="5" t="s">
        <v>25</v>
      </c>
      <c r="C34" s="5" t="s">
        <v>168</v>
      </c>
      <c r="D34" s="6" t="s">
        <v>183</v>
      </c>
      <c r="E34" s="5" t="s">
        <v>184</v>
      </c>
      <c r="F34" s="5" t="s">
        <v>29</v>
      </c>
      <c r="G34" s="6" t="s">
        <v>185</v>
      </c>
      <c r="H34" s="5" t="s">
        <v>186</v>
      </c>
      <c r="I34" s="7" t="s">
        <v>32</v>
      </c>
      <c r="J34" s="6" t="s">
        <v>187</v>
      </c>
      <c r="K34" s="6" t="s">
        <v>188</v>
      </c>
      <c r="L34" s="5" t="s">
        <v>34</v>
      </c>
      <c r="M34" s="8"/>
      <c r="N34" s="6"/>
      <c r="O34" s="8"/>
      <c r="P34" s="7" t="s">
        <v>35</v>
      </c>
    </row>
    <row r="35" customFormat="false" ht="15" hidden="false" customHeight="false" outlineLevel="0" collapsed="false">
      <c r="A35" s="5" t="n">
        <v>34</v>
      </c>
      <c r="B35" s="5" t="s">
        <v>189</v>
      </c>
      <c r="C35" s="5" t="s">
        <v>26</v>
      </c>
      <c r="D35" s="6" t="s">
        <v>190</v>
      </c>
      <c r="E35" s="5" t="s">
        <v>191</v>
      </c>
      <c r="F35" s="5" t="s">
        <v>192</v>
      </c>
      <c r="G35" s="6" t="s">
        <v>193</v>
      </c>
      <c r="H35" s="5" t="s">
        <v>194</v>
      </c>
      <c r="I35" s="5" t="s">
        <v>195</v>
      </c>
      <c r="J35" s="6"/>
      <c r="K35" s="6" t="s">
        <v>196</v>
      </c>
      <c r="L35" s="5" t="s">
        <v>34</v>
      </c>
      <c r="M35" s="8"/>
      <c r="N35" s="6"/>
      <c r="O35" s="8"/>
      <c r="P35" s="7" t="s">
        <v>35</v>
      </c>
    </row>
    <row r="36" customFormat="false" ht="23.85" hidden="false" customHeight="false" outlineLevel="0" collapsed="false">
      <c r="A36" s="5" t="n">
        <v>35</v>
      </c>
      <c r="B36" s="5" t="s">
        <v>189</v>
      </c>
      <c r="C36" s="5" t="s">
        <v>26</v>
      </c>
      <c r="D36" s="6" t="s">
        <v>197</v>
      </c>
      <c r="E36" s="5" t="s">
        <v>184</v>
      </c>
      <c r="F36" s="5" t="s">
        <v>29</v>
      </c>
      <c r="G36" s="6" t="s">
        <v>198</v>
      </c>
      <c r="H36" s="5" t="s">
        <v>195</v>
      </c>
      <c r="I36" s="5" t="s">
        <v>195</v>
      </c>
      <c r="J36" s="6" t="s">
        <v>199</v>
      </c>
      <c r="K36" s="6" t="s">
        <v>200</v>
      </c>
      <c r="L36" s="5" t="s">
        <v>34</v>
      </c>
      <c r="M36" s="8"/>
      <c r="N36" s="6"/>
      <c r="O36" s="8"/>
      <c r="P36" s="7" t="s">
        <v>35</v>
      </c>
    </row>
    <row r="37" customFormat="false" ht="15" hidden="false" customHeight="false" outlineLevel="0" collapsed="false">
      <c r="A37" s="5" t="n">
        <v>36</v>
      </c>
      <c r="B37" s="5" t="s">
        <v>189</v>
      </c>
      <c r="C37" s="5" t="s">
        <v>50</v>
      </c>
      <c r="D37" s="6" t="s">
        <v>201</v>
      </c>
      <c r="E37" s="5" t="s">
        <v>59</v>
      </c>
      <c r="F37" s="5" t="s">
        <v>29</v>
      </c>
      <c r="G37" s="6"/>
      <c r="H37" s="5" t="s">
        <v>202</v>
      </c>
      <c r="I37" s="5" t="s">
        <v>195</v>
      </c>
      <c r="J37" s="6"/>
      <c r="K37" s="6" t="s">
        <v>203</v>
      </c>
      <c r="L37" s="5" t="s">
        <v>34</v>
      </c>
      <c r="M37" s="8"/>
      <c r="N37" s="6"/>
      <c r="O37" s="8"/>
      <c r="P37" s="7" t="s">
        <v>35</v>
      </c>
    </row>
    <row r="38" customFormat="false" ht="15" hidden="false" customHeight="false" outlineLevel="0" collapsed="false">
      <c r="A38" s="5" t="n">
        <v>37</v>
      </c>
      <c r="B38" s="5" t="s">
        <v>189</v>
      </c>
      <c r="C38" s="5" t="s">
        <v>50</v>
      </c>
      <c r="D38" s="6" t="s">
        <v>204</v>
      </c>
      <c r="E38" s="5" t="s">
        <v>71</v>
      </c>
      <c r="F38" s="5" t="s">
        <v>29</v>
      </c>
      <c r="G38" s="6" t="s">
        <v>205</v>
      </c>
      <c r="H38" s="5" t="s">
        <v>206</v>
      </c>
      <c r="I38" s="5" t="s">
        <v>195</v>
      </c>
      <c r="J38" s="6" t="s">
        <v>207</v>
      </c>
      <c r="K38" s="6" t="s">
        <v>203</v>
      </c>
      <c r="L38" s="5" t="s">
        <v>34</v>
      </c>
      <c r="M38" s="8"/>
      <c r="N38" s="6"/>
      <c r="O38" s="8"/>
      <c r="P38" s="7" t="s">
        <v>35</v>
      </c>
    </row>
    <row r="39" customFormat="false" ht="15" hidden="false" customHeight="false" outlineLevel="0" collapsed="false">
      <c r="A39" s="5" t="n">
        <v>38</v>
      </c>
      <c r="B39" s="5" t="s">
        <v>189</v>
      </c>
      <c r="C39" s="5" t="s">
        <v>50</v>
      </c>
      <c r="D39" s="6" t="s">
        <v>208</v>
      </c>
      <c r="E39" s="5" t="s">
        <v>209</v>
      </c>
      <c r="F39" s="5" t="s">
        <v>144</v>
      </c>
      <c r="G39" s="6" t="s">
        <v>210</v>
      </c>
      <c r="H39" s="5" t="s">
        <v>195</v>
      </c>
      <c r="I39" s="5" t="s">
        <v>195</v>
      </c>
      <c r="J39" s="6" t="s">
        <v>211</v>
      </c>
      <c r="K39" s="6" t="s">
        <v>212</v>
      </c>
      <c r="L39" s="5" t="s">
        <v>34</v>
      </c>
      <c r="M39" s="8"/>
      <c r="N39" s="6"/>
      <c r="O39" s="8"/>
      <c r="P39" s="7" t="s">
        <v>35</v>
      </c>
    </row>
    <row r="40" customFormat="false" ht="15" hidden="false" customHeight="false" outlineLevel="0" collapsed="false">
      <c r="A40" s="5" t="n">
        <v>39</v>
      </c>
      <c r="B40" s="5" t="s">
        <v>189</v>
      </c>
      <c r="C40" s="5" t="s">
        <v>50</v>
      </c>
      <c r="D40" s="6" t="s">
        <v>213</v>
      </c>
      <c r="E40" s="5" t="s">
        <v>209</v>
      </c>
      <c r="F40" s="5" t="s">
        <v>144</v>
      </c>
      <c r="G40" s="6" t="s">
        <v>214</v>
      </c>
      <c r="H40" s="5" t="s">
        <v>195</v>
      </c>
      <c r="I40" s="5" t="s">
        <v>195</v>
      </c>
      <c r="J40" s="6" t="s">
        <v>215</v>
      </c>
      <c r="K40" s="6" t="s">
        <v>216</v>
      </c>
      <c r="L40" s="5" t="s">
        <v>34</v>
      </c>
      <c r="M40" s="8"/>
      <c r="N40" s="6"/>
      <c r="O40" s="8"/>
      <c r="P40" s="7" t="s">
        <v>35</v>
      </c>
    </row>
    <row r="41" customFormat="false" ht="23.85" hidden="false" customHeight="false" outlineLevel="0" collapsed="false">
      <c r="A41" s="5" t="n">
        <v>40</v>
      </c>
      <c r="B41" s="5" t="s">
        <v>189</v>
      </c>
      <c r="C41" s="5" t="s">
        <v>50</v>
      </c>
      <c r="D41" s="6" t="s">
        <v>217</v>
      </c>
      <c r="E41" s="5" t="s">
        <v>120</v>
      </c>
      <c r="F41" s="5" t="s">
        <v>109</v>
      </c>
      <c r="G41" s="6" t="s">
        <v>218</v>
      </c>
      <c r="H41" s="5" t="s">
        <v>195</v>
      </c>
      <c r="I41" s="5" t="s">
        <v>195</v>
      </c>
      <c r="J41" s="6" t="s">
        <v>219</v>
      </c>
      <c r="K41" s="6" t="s">
        <v>220</v>
      </c>
      <c r="L41" s="5" t="s">
        <v>34</v>
      </c>
      <c r="M41" s="8"/>
      <c r="N41" s="6"/>
      <c r="O41" s="8"/>
      <c r="P41" s="7" t="s">
        <v>35</v>
      </c>
    </row>
    <row r="42" customFormat="false" ht="15" hidden="false" customHeight="false" outlineLevel="0" collapsed="false">
      <c r="A42" s="5" t="n">
        <v>41</v>
      </c>
      <c r="B42" s="5" t="s">
        <v>189</v>
      </c>
      <c r="C42" s="5" t="s">
        <v>50</v>
      </c>
      <c r="D42" s="6" t="s">
        <v>221</v>
      </c>
      <c r="E42" s="5" t="s">
        <v>120</v>
      </c>
      <c r="F42" s="5" t="s">
        <v>109</v>
      </c>
      <c r="G42" s="6" t="s">
        <v>54</v>
      </c>
      <c r="H42" s="5" t="s">
        <v>195</v>
      </c>
      <c r="I42" s="5" t="s">
        <v>195</v>
      </c>
      <c r="J42" s="6" t="s">
        <v>222</v>
      </c>
      <c r="K42" s="6" t="s">
        <v>212</v>
      </c>
      <c r="L42" s="5" t="s">
        <v>34</v>
      </c>
      <c r="M42" s="8"/>
      <c r="N42" s="6"/>
      <c r="O42" s="8"/>
      <c r="P42" s="7" t="s">
        <v>35</v>
      </c>
    </row>
    <row r="43" customFormat="false" ht="15" hidden="false" customHeight="false" outlineLevel="0" collapsed="false">
      <c r="A43" s="5" t="n">
        <v>42</v>
      </c>
      <c r="B43" s="5" t="s">
        <v>189</v>
      </c>
      <c r="C43" s="5" t="s">
        <v>80</v>
      </c>
      <c r="D43" s="6" t="s">
        <v>223</v>
      </c>
      <c r="E43" s="5" t="s">
        <v>108</v>
      </c>
      <c r="F43" s="5" t="s">
        <v>109</v>
      </c>
      <c r="G43" s="6" t="s">
        <v>224</v>
      </c>
      <c r="H43" s="5" t="s">
        <v>195</v>
      </c>
      <c r="I43" s="5" t="s">
        <v>195</v>
      </c>
      <c r="J43" s="6" t="s">
        <v>225</v>
      </c>
      <c r="K43" s="6" t="s">
        <v>226</v>
      </c>
      <c r="L43" s="5" t="s">
        <v>34</v>
      </c>
      <c r="M43" s="8"/>
      <c r="N43" s="6"/>
      <c r="O43" s="8"/>
      <c r="P43" s="7" t="s">
        <v>35</v>
      </c>
    </row>
    <row r="44" customFormat="false" ht="15" hidden="false" customHeight="false" outlineLevel="0" collapsed="false">
      <c r="A44" s="5" t="n">
        <v>43</v>
      </c>
      <c r="B44" s="5" t="s">
        <v>189</v>
      </c>
      <c r="C44" s="5" t="s">
        <v>127</v>
      </c>
      <c r="D44" s="6" t="s">
        <v>227</v>
      </c>
      <c r="E44" s="5" t="s">
        <v>143</v>
      </c>
      <c r="F44" s="5" t="s">
        <v>144</v>
      </c>
      <c r="G44" s="6"/>
      <c r="H44" s="5" t="s">
        <v>228</v>
      </c>
      <c r="I44" s="5" t="s">
        <v>195</v>
      </c>
      <c r="J44" s="6" t="s">
        <v>229</v>
      </c>
      <c r="K44" s="6" t="s">
        <v>230</v>
      </c>
      <c r="L44" s="5" t="s">
        <v>34</v>
      </c>
      <c r="M44" s="8"/>
      <c r="N44" s="6"/>
      <c r="O44" s="8"/>
      <c r="P44" s="7" t="s">
        <v>35</v>
      </c>
    </row>
    <row r="45" customFormat="false" ht="15" hidden="false" customHeight="false" outlineLevel="0" collapsed="false">
      <c r="A45" s="5" t="n">
        <v>44</v>
      </c>
      <c r="B45" s="5" t="s">
        <v>189</v>
      </c>
      <c r="C45" s="5" t="s">
        <v>127</v>
      </c>
      <c r="D45" s="6" t="s">
        <v>231</v>
      </c>
      <c r="E45" s="5" t="s">
        <v>143</v>
      </c>
      <c r="F45" s="5" t="s">
        <v>144</v>
      </c>
      <c r="G45" s="6" t="s">
        <v>232</v>
      </c>
      <c r="H45" s="5" t="s">
        <v>195</v>
      </c>
      <c r="I45" s="5" t="s">
        <v>195</v>
      </c>
      <c r="J45" s="6" t="s">
        <v>233</v>
      </c>
      <c r="K45" s="6" t="s">
        <v>212</v>
      </c>
      <c r="L45" s="5" t="s">
        <v>34</v>
      </c>
      <c r="M45" s="8"/>
      <c r="N45" s="6"/>
      <c r="O45" s="8"/>
      <c r="P45" s="7" t="s">
        <v>35</v>
      </c>
    </row>
    <row r="46" customFormat="false" ht="15" hidden="false" customHeight="false" outlineLevel="0" collapsed="false">
      <c r="A46" s="5" t="n">
        <v>45</v>
      </c>
      <c r="B46" s="5" t="s">
        <v>189</v>
      </c>
      <c r="C46" s="5" t="s">
        <v>156</v>
      </c>
      <c r="D46" s="6" t="s">
        <v>234</v>
      </c>
      <c r="E46" s="5" t="s">
        <v>158</v>
      </c>
      <c r="F46" s="5" t="s">
        <v>53</v>
      </c>
      <c r="G46" s="6" t="s">
        <v>235</v>
      </c>
      <c r="H46" s="5" t="s">
        <v>236</v>
      </c>
      <c r="I46" s="7" t="s">
        <v>32</v>
      </c>
      <c r="J46" s="6" t="s">
        <v>237</v>
      </c>
      <c r="K46" s="6" t="s">
        <v>238</v>
      </c>
      <c r="L46" s="5" t="s">
        <v>34</v>
      </c>
      <c r="M46" s="8"/>
      <c r="N46" s="6"/>
      <c r="O46" s="8"/>
      <c r="P46" s="7" t="s">
        <v>35</v>
      </c>
    </row>
    <row r="47" customFormat="false" ht="15" hidden="false" customHeight="false" outlineLevel="0" collapsed="false">
      <c r="A47" s="5" t="n">
        <v>46</v>
      </c>
      <c r="B47" s="5" t="s">
        <v>189</v>
      </c>
      <c r="C47" s="5" t="s">
        <v>156</v>
      </c>
      <c r="D47" s="6" t="s">
        <v>239</v>
      </c>
      <c r="E47" s="5" t="s">
        <v>158</v>
      </c>
      <c r="F47" s="5" t="s">
        <v>53</v>
      </c>
      <c r="G47" s="6" t="s">
        <v>240</v>
      </c>
      <c r="H47" s="5" t="s">
        <v>241</v>
      </c>
      <c r="I47" s="5" t="s">
        <v>195</v>
      </c>
      <c r="J47" s="6" t="s">
        <v>242</v>
      </c>
      <c r="K47" s="6" t="s">
        <v>243</v>
      </c>
      <c r="L47" s="5" t="s">
        <v>34</v>
      </c>
      <c r="M47" s="8"/>
      <c r="N47" s="6"/>
      <c r="O47" s="8"/>
      <c r="P47" s="7" t="s">
        <v>35</v>
      </c>
    </row>
    <row r="48" customFormat="false" ht="15" hidden="false" customHeight="false" outlineLevel="0" collapsed="false">
      <c r="A48" s="5" t="n">
        <v>47</v>
      </c>
      <c r="B48" s="5" t="s">
        <v>189</v>
      </c>
      <c r="C48" s="5" t="s">
        <v>156</v>
      </c>
      <c r="D48" s="6" t="s">
        <v>244</v>
      </c>
      <c r="E48" s="5" t="s">
        <v>158</v>
      </c>
      <c r="F48" s="5" t="s">
        <v>53</v>
      </c>
      <c r="G48" s="6" t="s">
        <v>245</v>
      </c>
      <c r="H48" s="5" t="s">
        <v>246</v>
      </c>
      <c r="I48" s="5" t="s">
        <v>195</v>
      </c>
      <c r="J48" s="6"/>
      <c r="K48" s="6" t="s">
        <v>247</v>
      </c>
      <c r="L48" s="5" t="s">
        <v>34</v>
      </c>
      <c r="M48" s="8"/>
      <c r="N48" s="6"/>
      <c r="O48" s="8"/>
      <c r="P48" s="7" t="s">
        <v>35</v>
      </c>
    </row>
    <row r="49" customFormat="false" ht="15" hidden="false" customHeight="false" outlineLevel="0" collapsed="false">
      <c r="A49" s="5" t="n">
        <v>48</v>
      </c>
      <c r="B49" s="5" t="s">
        <v>189</v>
      </c>
      <c r="C49" s="5" t="s">
        <v>156</v>
      </c>
      <c r="D49" s="6" t="s">
        <v>248</v>
      </c>
      <c r="E49" s="5" t="s">
        <v>158</v>
      </c>
      <c r="F49" s="5" t="s">
        <v>53</v>
      </c>
      <c r="G49" s="6" t="s">
        <v>249</v>
      </c>
      <c r="H49" s="5" t="s">
        <v>195</v>
      </c>
      <c r="I49" s="5" t="s">
        <v>195</v>
      </c>
      <c r="J49" s="6" t="s">
        <v>250</v>
      </c>
      <c r="K49" s="6" t="s">
        <v>216</v>
      </c>
      <c r="L49" s="5" t="s">
        <v>34</v>
      </c>
      <c r="M49" s="8"/>
      <c r="N49" s="6"/>
      <c r="O49" s="8"/>
      <c r="P49" s="7" t="s">
        <v>35</v>
      </c>
    </row>
    <row r="50" customFormat="false" ht="15" hidden="false" customHeight="false" outlineLevel="0" collapsed="false">
      <c r="A50" s="5" t="n">
        <v>49</v>
      </c>
      <c r="B50" s="5" t="s">
        <v>189</v>
      </c>
      <c r="C50" s="5" t="s">
        <v>168</v>
      </c>
      <c r="D50" s="6" t="s">
        <v>251</v>
      </c>
      <c r="E50" s="5" t="s">
        <v>170</v>
      </c>
      <c r="F50" s="5" t="s">
        <v>29</v>
      </c>
      <c r="G50" s="6"/>
      <c r="H50" s="5" t="s">
        <v>252</v>
      </c>
      <c r="I50" s="5" t="s">
        <v>195</v>
      </c>
      <c r="J50" s="6"/>
      <c r="K50" s="6" t="s">
        <v>203</v>
      </c>
      <c r="L50" s="5" t="s">
        <v>34</v>
      </c>
      <c r="M50" s="8"/>
      <c r="N50" s="6"/>
      <c r="O50" s="8"/>
      <c r="P50" s="7" t="s">
        <v>35</v>
      </c>
    </row>
  </sheetData>
  <conditionalFormatting sqref="A2:P50">
    <cfRule type="expression" priority="2" aboveAverage="0" equalAverage="0" bottom="0" percent="0" rank="0" text="" dxfId="4">
      <formula>$L2="Fechou (cliente)"</formula>
    </cfRule>
    <cfRule type="expression" priority="3" aboveAverage="0" equalAverage="0" bottom="0" percent="0" rank="0" text="" dxfId="5">
      <formula>$L2="Teste grátis"</formula>
    </cfRule>
    <cfRule type="expression" priority="4" aboveAverage="0" equalAverage="0" bottom="0" percent="0" rank="0" text="" dxfId="6">
      <formula>$L2="Respondeu"</formula>
    </cfRule>
    <cfRule type="expression" priority="5" aboveAverage="0" equalAverage="0" bottom="0" percent="0" rank="0" text="" dxfId="6">
      <formula>$L2="Vídeo/demo enviado"</formula>
    </cfRule>
    <cfRule type="expression" priority="6" aboveAverage="0" equalAverage="0" bottom="0" percent="0" rank="0" text="" dxfId="7">
      <formula>$L2="Mensagem enviada"</formula>
    </cfRule>
    <cfRule type="expression" priority="7" aboveAverage="0" equalAverage="0" bottom="0" percent="0" rank="0" text="" dxfId="8">
      <formula>$L2="Sem interesse"</formula>
    </cfRule>
    <cfRule type="expression" priority="8" aboveAverage="0" equalAverage="0" bottom="0" percent="0" rank="0" text="" dxfId="9">
      <formula>$L2="Número errado"</formula>
    </cfRule>
  </conditionalFormatting>
  <conditionalFormatting sqref="B2:B50">
    <cfRule type="expression" priority="9" aboveAverage="0" equalAverage="0" bottom="0" percent="0" rank="0" text="" dxfId="10">
      <formula>$B2="A"</formula>
    </cfRule>
  </conditionalFormatting>
  <conditionalFormatting sqref="O2:O50">
    <cfRule type="expression" priority="10" aboveAverage="0" equalAverage="0" bottom="0" percent="0" rank="0" text="" dxfId="11">
      <formula>AND($O2&lt;&gt;"",$O2&lt;=TODAY(),$L2&lt;&gt;"Fechou (cliente)",$L2&lt;&gt;"Sem interesse")</formula>
    </cfRule>
  </conditionalFormatting>
  <dataValidations count="2">
    <dataValidation allowBlank="true" errorStyle="stop" operator="between" showDropDown="false" showErrorMessage="false" showInputMessage="false" sqref="L2:L50" type="list">
      <formula1>"Não contatado,Mensagem enviada,Respondeu,Vídeo/demo enviado,Teste grátis,Fechou (cliente),Sem interesse,Número errado"</formula1>
      <formula2>0</formula2>
    </dataValidation>
    <dataValidation allowBlank="true" error="Digite uma data, ex.: 21/10/2026" errorStyle="stop" operator="greaterThan" showDropDown="false" showErrorMessage="false" showInputMessage="false" sqref="M2:M50 O2:O50" type="date">
      <formula1>45000</formula1>
      <formula2>0</formula2>
    </dataValidation>
  </dataValidations>
  <hyperlinks>
    <hyperlink ref="I2" r:id="rId1" display="Abrir"/>
    <hyperlink ref="P2" r:id="rId2" display="Ver"/>
    <hyperlink ref="I3" r:id="rId3" display="Abrir"/>
    <hyperlink ref="P3" r:id="rId4" display="Ver"/>
    <hyperlink ref="I4" r:id="rId5" display="Abrir"/>
    <hyperlink ref="P4" r:id="rId6" display="Ver"/>
    <hyperlink ref="I5" r:id="rId7" display="Abrir"/>
    <hyperlink ref="P5" r:id="rId8" display="Ver"/>
    <hyperlink ref="I6" r:id="rId9" display="Abrir"/>
    <hyperlink ref="P6" r:id="rId10" display="Ver"/>
    <hyperlink ref="I7" r:id="rId11" display="Abrir"/>
    <hyperlink ref="P7" r:id="rId12" display="Ver"/>
    <hyperlink ref="I8" r:id="rId13" display="Abrir"/>
    <hyperlink ref="P8" r:id="rId14" display="Ver"/>
    <hyperlink ref="I9" r:id="rId15" display="Abrir"/>
    <hyperlink ref="P9" r:id="rId16" display="Ver"/>
    <hyperlink ref="I10" r:id="rId17" display="Abrir"/>
    <hyperlink ref="P10" r:id="rId18" display="Ver"/>
    <hyperlink ref="I11" r:id="rId19" display="Abrir"/>
    <hyperlink ref="P11" r:id="rId20" display="Ver"/>
    <hyperlink ref="I12" r:id="rId21" display="Abrir"/>
    <hyperlink ref="P12" r:id="rId22" display="Ver"/>
    <hyperlink ref="I13" r:id="rId23" display="Abrir"/>
    <hyperlink ref="P13" r:id="rId24" display="Ver"/>
    <hyperlink ref="I14" r:id="rId25" display="Abrir"/>
    <hyperlink ref="P14" r:id="rId26" display="Ver"/>
    <hyperlink ref="I15" r:id="rId27" display="Abrir"/>
    <hyperlink ref="P15" r:id="rId28" display="Ver"/>
    <hyperlink ref="I16" r:id="rId29" display="Abrir"/>
    <hyperlink ref="P16" r:id="rId30" display="Ver"/>
    <hyperlink ref="I17" r:id="rId31" display="Abrir"/>
    <hyperlink ref="P17" r:id="rId32" display="Ver"/>
    <hyperlink ref="I18" r:id="rId33" display="Abrir"/>
    <hyperlink ref="P18" r:id="rId34" display="Ver"/>
    <hyperlink ref="I19" r:id="rId35" display="Abrir"/>
    <hyperlink ref="P19" r:id="rId36" display="Ver"/>
    <hyperlink ref="I20" r:id="rId37" display="Abrir"/>
    <hyperlink ref="P20" r:id="rId38" display="Ver"/>
    <hyperlink ref="I21" r:id="rId39" display="Abrir"/>
    <hyperlink ref="P21" r:id="rId40" display="Ver"/>
    <hyperlink ref="I22" r:id="rId41" display="Abrir"/>
    <hyperlink ref="P22" r:id="rId42" display="Ver"/>
    <hyperlink ref="I23" r:id="rId43" display="Abrir"/>
    <hyperlink ref="P23" r:id="rId44" display="Ver"/>
    <hyperlink ref="I24" r:id="rId45" display="Abrir"/>
    <hyperlink ref="P24" r:id="rId46" display="Ver"/>
    <hyperlink ref="I25" r:id="rId47" display="Abrir"/>
    <hyperlink ref="P25" r:id="rId48" display="Ver"/>
    <hyperlink ref="I26" r:id="rId49" display="Abrir"/>
    <hyperlink ref="P26" r:id="rId50" display="Ver"/>
    <hyperlink ref="I27" r:id="rId51" display="Abrir"/>
    <hyperlink ref="P27" r:id="rId52" display="Ver"/>
    <hyperlink ref="I28" r:id="rId53" display="Abrir"/>
    <hyperlink ref="P28" r:id="rId54" display="Ver"/>
    <hyperlink ref="I29" r:id="rId55" display="Abrir"/>
    <hyperlink ref="P29" r:id="rId56" display="Ver"/>
    <hyperlink ref="I30" r:id="rId57" display="Abrir"/>
    <hyperlink ref="P30" r:id="rId58" display="Ver"/>
    <hyperlink ref="I31" r:id="rId59" display="Abrir"/>
    <hyperlink ref="P31" r:id="rId60" display="Ver"/>
    <hyperlink ref="I32" r:id="rId61" display="Abrir"/>
    <hyperlink ref="P32" r:id="rId62" display="Ver"/>
    <hyperlink ref="I33" r:id="rId63" display="Abrir"/>
    <hyperlink ref="P33" r:id="rId64" display="Ver"/>
    <hyperlink ref="I34" r:id="rId65" display="Abrir"/>
    <hyperlink ref="P34" r:id="rId66" display="Ver"/>
    <hyperlink ref="P35" r:id="rId67" display="Ver"/>
    <hyperlink ref="P36" r:id="rId68" display="Ver"/>
    <hyperlink ref="P37" r:id="rId69" display="Ver"/>
    <hyperlink ref="P38" r:id="rId70" display="Ver"/>
    <hyperlink ref="P39" r:id="rId71" display="Ver"/>
    <hyperlink ref="P40" r:id="rId72" display="Ver"/>
    <hyperlink ref="P41" r:id="rId73" display="Ver"/>
    <hyperlink ref="P42" r:id="rId74" display="Ver"/>
    <hyperlink ref="P43" r:id="rId75" display="Ver"/>
    <hyperlink ref="P44" r:id="rId76" display="Ver"/>
    <hyperlink ref="P45" r:id="rId77" display="Ver"/>
    <hyperlink ref="I46" r:id="rId78" display="Abrir"/>
    <hyperlink ref="P46" r:id="rId79" display="Ver"/>
    <hyperlink ref="P47" r:id="rId80" display="Ver"/>
    <hyperlink ref="P48" r:id="rId81" display="Ver"/>
    <hyperlink ref="P49" r:id="rId82" display="Ver"/>
    <hyperlink ref="P50" r:id="rId83" display="V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8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17.35" hidden="false" customHeight="false" outlineLevel="0" collapsed="false">
      <c r="A1" s="9" t="s">
        <v>253</v>
      </c>
    </row>
    <row r="2" customFormat="false" ht="15" hidden="false" customHeight="false" outlineLevel="0" collapsed="false">
      <c r="A2" s="10" t="s">
        <v>254</v>
      </c>
    </row>
    <row r="4" customFormat="false" ht="31.5" hidden="false" customHeight="true" outlineLevel="0" collapsed="false">
      <c r="A4" s="11" t="s">
        <v>11</v>
      </c>
      <c r="B4" s="11" t="s">
        <v>255</v>
      </c>
      <c r="C4" s="11" t="s">
        <v>256</v>
      </c>
      <c r="D4" s="11" t="s">
        <v>34</v>
      </c>
      <c r="E4" s="11" t="s">
        <v>257</v>
      </c>
      <c r="F4" s="11" t="s">
        <v>258</v>
      </c>
      <c r="G4" s="11" t="s">
        <v>259</v>
      </c>
      <c r="H4" s="11" t="s">
        <v>260</v>
      </c>
      <c r="I4" s="11" t="s">
        <v>261</v>
      </c>
      <c r="J4" s="11" t="s">
        <v>262</v>
      </c>
      <c r="K4" s="11" t="s">
        <v>263</v>
      </c>
    </row>
    <row r="5" customFormat="false" ht="15" hidden="false" customHeight="false" outlineLevel="0" collapsed="false">
      <c r="A5" s="12" t="s">
        <v>26</v>
      </c>
      <c r="B5" s="13" t="n">
        <f aca="false">COUNTIF(Clientes!$C:$C,$A5)</f>
        <v>6</v>
      </c>
      <c r="C5" s="13" t="n">
        <f aca="false">COUNTIFS(Clientes!$C:$C,$A5,Clientes!$B:$B,"A")</f>
        <v>4</v>
      </c>
      <c r="D5" s="13" t="n">
        <f aca="false">COUNTIFS(Clientes!$C:$C,$A5,Clientes!$L:$L,D$4)</f>
        <v>6</v>
      </c>
      <c r="E5" s="13" t="n">
        <f aca="false">COUNTIFS(Clientes!$C:$C,$A5,Clientes!$L:$L,E$4)</f>
        <v>0</v>
      </c>
      <c r="F5" s="13" t="n">
        <f aca="false">COUNTIFS(Clientes!$C:$C,$A5,Clientes!$L:$L,F$4)</f>
        <v>0</v>
      </c>
      <c r="G5" s="13" t="n">
        <f aca="false">COUNTIFS(Clientes!$C:$C,$A5,Clientes!$L:$L,G$4)</f>
        <v>0</v>
      </c>
      <c r="H5" s="13" t="n">
        <f aca="false">COUNTIFS(Clientes!$C:$C,$A5,Clientes!$L:$L,H$4)</f>
        <v>0</v>
      </c>
      <c r="I5" s="13" t="n">
        <f aca="false">COUNTIFS(Clientes!$C:$C,$A5,Clientes!$L:$L,I$4)</f>
        <v>0</v>
      </c>
      <c r="J5" s="13" t="n">
        <f aca="false">COUNTIFS(Clientes!$C:$C,$A5,Clientes!$L:$L,J$4)</f>
        <v>0</v>
      </c>
      <c r="K5" s="13" t="n">
        <f aca="false">COUNTIFS(Clientes!$C:$C,$A5,Clientes!$L:$L,K$4)</f>
        <v>0</v>
      </c>
    </row>
    <row r="6" customFormat="false" ht="15" hidden="false" customHeight="false" outlineLevel="0" collapsed="false">
      <c r="A6" s="12" t="s">
        <v>50</v>
      </c>
      <c r="B6" s="13" t="n">
        <f aca="false">COUNTIF(Clientes!$C:$C,$A6)</f>
        <v>12</v>
      </c>
      <c r="C6" s="13" t="n">
        <f aca="false">COUNTIFS(Clientes!$C:$C,$A6,Clientes!$B:$B,"A")</f>
        <v>6</v>
      </c>
      <c r="D6" s="13" t="n">
        <f aca="false">COUNTIFS(Clientes!$C:$C,$A6,Clientes!$L:$L,D$4)</f>
        <v>12</v>
      </c>
      <c r="E6" s="13" t="n">
        <f aca="false">COUNTIFS(Clientes!$C:$C,$A6,Clientes!$L:$L,E$4)</f>
        <v>0</v>
      </c>
      <c r="F6" s="13" t="n">
        <f aca="false">COUNTIFS(Clientes!$C:$C,$A6,Clientes!$L:$L,F$4)</f>
        <v>0</v>
      </c>
      <c r="G6" s="13" t="n">
        <f aca="false">COUNTIFS(Clientes!$C:$C,$A6,Clientes!$L:$L,G$4)</f>
        <v>0</v>
      </c>
      <c r="H6" s="13" t="n">
        <f aca="false">COUNTIFS(Clientes!$C:$C,$A6,Clientes!$L:$L,H$4)</f>
        <v>0</v>
      </c>
      <c r="I6" s="13" t="n">
        <f aca="false">COUNTIFS(Clientes!$C:$C,$A6,Clientes!$L:$L,I$4)</f>
        <v>0</v>
      </c>
      <c r="J6" s="13" t="n">
        <f aca="false">COUNTIFS(Clientes!$C:$C,$A6,Clientes!$L:$L,J$4)</f>
        <v>0</v>
      </c>
      <c r="K6" s="13" t="n">
        <f aca="false">COUNTIFS(Clientes!$C:$C,$A6,Clientes!$L:$L,K$4)</f>
        <v>0</v>
      </c>
    </row>
    <row r="7" customFormat="false" ht="15" hidden="false" customHeight="false" outlineLevel="0" collapsed="false">
      <c r="A7" s="12" t="s">
        <v>80</v>
      </c>
      <c r="B7" s="13" t="n">
        <f aca="false">COUNTIF(Clientes!$C:$C,$A7)</f>
        <v>12</v>
      </c>
      <c r="C7" s="13" t="n">
        <f aca="false">COUNTIFS(Clientes!$C:$C,$A7,Clientes!$B:$B,"A")</f>
        <v>11</v>
      </c>
      <c r="D7" s="13" t="n">
        <f aca="false">COUNTIFS(Clientes!$C:$C,$A7,Clientes!$L:$L,D$4)</f>
        <v>12</v>
      </c>
      <c r="E7" s="13" t="n">
        <f aca="false">COUNTIFS(Clientes!$C:$C,$A7,Clientes!$L:$L,E$4)</f>
        <v>0</v>
      </c>
      <c r="F7" s="13" t="n">
        <f aca="false">COUNTIFS(Clientes!$C:$C,$A7,Clientes!$L:$L,F$4)</f>
        <v>0</v>
      </c>
      <c r="G7" s="13" t="n">
        <f aca="false">COUNTIFS(Clientes!$C:$C,$A7,Clientes!$L:$L,G$4)</f>
        <v>0</v>
      </c>
      <c r="H7" s="13" t="n">
        <f aca="false">COUNTIFS(Clientes!$C:$C,$A7,Clientes!$L:$L,H$4)</f>
        <v>0</v>
      </c>
      <c r="I7" s="13" t="n">
        <f aca="false">COUNTIFS(Clientes!$C:$C,$A7,Clientes!$L:$L,I$4)</f>
        <v>0</v>
      </c>
      <c r="J7" s="13" t="n">
        <f aca="false">COUNTIFS(Clientes!$C:$C,$A7,Clientes!$L:$L,J$4)</f>
        <v>0</v>
      </c>
      <c r="K7" s="13" t="n">
        <f aca="false">COUNTIFS(Clientes!$C:$C,$A7,Clientes!$L:$L,K$4)</f>
        <v>0</v>
      </c>
    </row>
    <row r="8" customFormat="false" ht="15" hidden="false" customHeight="false" outlineLevel="0" collapsed="false">
      <c r="A8" s="12" t="s">
        <v>127</v>
      </c>
      <c r="B8" s="13" t="n">
        <f aca="false">COUNTIF(Clientes!$C:$C,$A8)</f>
        <v>7</v>
      </c>
      <c r="C8" s="13" t="n">
        <f aca="false">COUNTIFS(Clientes!$C:$C,$A8,Clientes!$B:$B,"A")</f>
        <v>5</v>
      </c>
      <c r="D8" s="13" t="n">
        <f aca="false">COUNTIFS(Clientes!$C:$C,$A8,Clientes!$L:$L,D$4)</f>
        <v>7</v>
      </c>
      <c r="E8" s="13" t="n">
        <f aca="false">COUNTIFS(Clientes!$C:$C,$A8,Clientes!$L:$L,E$4)</f>
        <v>0</v>
      </c>
      <c r="F8" s="13" t="n">
        <f aca="false">COUNTIFS(Clientes!$C:$C,$A8,Clientes!$L:$L,F$4)</f>
        <v>0</v>
      </c>
      <c r="G8" s="13" t="n">
        <f aca="false">COUNTIFS(Clientes!$C:$C,$A8,Clientes!$L:$L,G$4)</f>
        <v>0</v>
      </c>
      <c r="H8" s="13" t="n">
        <f aca="false">COUNTIFS(Clientes!$C:$C,$A8,Clientes!$L:$L,H$4)</f>
        <v>0</v>
      </c>
      <c r="I8" s="13" t="n">
        <f aca="false">COUNTIFS(Clientes!$C:$C,$A8,Clientes!$L:$L,I$4)</f>
        <v>0</v>
      </c>
      <c r="J8" s="13" t="n">
        <f aca="false">COUNTIFS(Clientes!$C:$C,$A8,Clientes!$L:$L,J$4)</f>
        <v>0</v>
      </c>
      <c r="K8" s="13" t="n">
        <f aca="false">COUNTIFS(Clientes!$C:$C,$A8,Clientes!$L:$L,K$4)</f>
        <v>0</v>
      </c>
    </row>
    <row r="9" customFormat="false" ht="15" hidden="false" customHeight="false" outlineLevel="0" collapsed="false">
      <c r="A9" s="12" t="s">
        <v>156</v>
      </c>
      <c r="B9" s="13" t="n">
        <f aca="false">COUNTIF(Clientes!$C:$C,$A9)</f>
        <v>6</v>
      </c>
      <c r="C9" s="13" t="n">
        <f aca="false">COUNTIFS(Clientes!$C:$C,$A9,Clientes!$B:$B,"A")</f>
        <v>2</v>
      </c>
      <c r="D9" s="13" t="n">
        <f aca="false">COUNTIFS(Clientes!$C:$C,$A9,Clientes!$L:$L,D$4)</f>
        <v>6</v>
      </c>
      <c r="E9" s="13" t="n">
        <f aca="false">COUNTIFS(Clientes!$C:$C,$A9,Clientes!$L:$L,E$4)</f>
        <v>0</v>
      </c>
      <c r="F9" s="13" t="n">
        <f aca="false">COUNTIFS(Clientes!$C:$C,$A9,Clientes!$L:$L,F$4)</f>
        <v>0</v>
      </c>
      <c r="G9" s="13" t="n">
        <f aca="false">COUNTIFS(Clientes!$C:$C,$A9,Clientes!$L:$L,G$4)</f>
        <v>0</v>
      </c>
      <c r="H9" s="13" t="n">
        <f aca="false">COUNTIFS(Clientes!$C:$C,$A9,Clientes!$L:$L,H$4)</f>
        <v>0</v>
      </c>
      <c r="I9" s="13" t="n">
        <f aca="false">COUNTIFS(Clientes!$C:$C,$A9,Clientes!$L:$L,I$4)</f>
        <v>0</v>
      </c>
      <c r="J9" s="13" t="n">
        <f aca="false">COUNTIFS(Clientes!$C:$C,$A9,Clientes!$L:$L,J$4)</f>
        <v>0</v>
      </c>
      <c r="K9" s="13" t="n">
        <f aca="false">COUNTIFS(Clientes!$C:$C,$A9,Clientes!$L:$L,K$4)</f>
        <v>0</v>
      </c>
    </row>
    <row r="10" customFormat="false" ht="15" hidden="false" customHeight="false" outlineLevel="0" collapsed="false">
      <c r="A10" s="12" t="s">
        <v>168</v>
      </c>
      <c r="B10" s="13" t="n">
        <f aca="false">COUNTIF(Clientes!$C:$C,$A10)</f>
        <v>6</v>
      </c>
      <c r="C10" s="13" t="n">
        <f aca="false">COUNTIFS(Clientes!$C:$C,$A10,Clientes!$B:$B,"A")</f>
        <v>5</v>
      </c>
      <c r="D10" s="13" t="n">
        <f aca="false">COUNTIFS(Clientes!$C:$C,$A10,Clientes!$L:$L,D$4)</f>
        <v>6</v>
      </c>
      <c r="E10" s="13" t="n">
        <f aca="false">COUNTIFS(Clientes!$C:$C,$A10,Clientes!$L:$L,E$4)</f>
        <v>0</v>
      </c>
      <c r="F10" s="13" t="n">
        <f aca="false">COUNTIFS(Clientes!$C:$C,$A10,Clientes!$L:$L,F$4)</f>
        <v>0</v>
      </c>
      <c r="G10" s="13" t="n">
        <f aca="false">COUNTIFS(Clientes!$C:$C,$A10,Clientes!$L:$L,G$4)</f>
        <v>0</v>
      </c>
      <c r="H10" s="13" t="n">
        <f aca="false">COUNTIFS(Clientes!$C:$C,$A10,Clientes!$L:$L,H$4)</f>
        <v>0</v>
      </c>
      <c r="I10" s="13" t="n">
        <f aca="false">COUNTIFS(Clientes!$C:$C,$A10,Clientes!$L:$L,I$4)</f>
        <v>0</v>
      </c>
      <c r="J10" s="13" t="n">
        <f aca="false">COUNTIFS(Clientes!$C:$C,$A10,Clientes!$L:$L,J$4)</f>
        <v>0</v>
      </c>
      <c r="K10" s="13" t="n">
        <f aca="false">COUNTIFS(Clientes!$C:$C,$A10,Clientes!$L:$L,K$4)</f>
        <v>0</v>
      </c>
    </row>
    <row r="11" customFormat="false" ht="15" hidden="false" customHeight="false" outlineLevel="0" collapsed="false">
      <c r="A11" s="12" t="s">
        <v>255</v>
      </c>
      <c r="B11" s="14" t="n">
        <f aca="false">SUM(B5:B10)</f>
        <v>49</v>
      </c>
      <c r="C11" s="14" t="n">
        <f aca="false">SUM(C5:C10)</f>
        <v>33</v>
      </c>
      <c r="D11" s="14" t="n">
        <f aca="false">SUM(D5:D10)</f>
        <v>49</v>
      </c>
      <c r="E11" s="14" t="n">
        <f aca="false">SUM(E5:E10)</f>
        <v>0</v>
      </c>
      <c r="F11" s="14" t="n">
        <f aca="false">SUM(F5:F10)</f>
        <v>0</v>
      </c>
      <c r="G11" s="14" t="n">
        <f aca="false">SUM(G5:G10)</f>
        <v>0</v>
      </c>
      <c r="H11" s="14" t="n">
        <f aca="false">SUM(H5:H10)</f>
        <v>0</v>
      </c>
      <c r="I11" s="14" t="n">
        <f aca="false">SUM(I5:I10)</f>
        <v>0</v>
      </c>
      <c r="J11" s="14" t="n">
        <f aca="false">SUM(J5:J10)</f>
        <v>0</v>
      </c>
      <c r="K11" s="14" t="n">
        <f aca="false">SUM(K5:K10)</f>
        <v>0</v>
      </c>
    </row>
    <row r="13" customFormat="false" ht="15" hidden="false" customHeight="false" outlineLevel="0" collapsed="false">
      <c r="A13" s="15" t="s">
        <v>264</v>
      </c>
      <c r="B13" s="16" t="n">
        <f aca="false">IFERROR((F11+G11+H11+I11+J11)/(B11-D11-K11),0)</f>
        <v>0</v>
      </c>
      <c r="C13" s="17" t="s">
        <v>265</v>
      </c>
    </row>
    <row r="14" customFormat="false" ht="15" hidden="false" customHeight="false" outlineLevel="0" collapsed="false">
      <c r="A14" s="15" t="s">
        <v>266</v>
      </c>
      <c r="B14" s="15" t="n">
        <f aca="false">I11</f>
        <v>0</v>
      </c>
    </row>
    <row r="15" customFormat="false" ht="15" hidden="false" customHeight="false" outlineLevel="0" collapsed="false">
      <c r="A15" s="15" t="s">
        <v>267</v>
      </c>
      <c r="B15" s="18" t="n">
        <f aca="false">B14*B17</f>
        <v>0</v>
      </c>
    </row>
    <row r="17" customFormat="false" ht="15" hidden="false" customHeight="false" outlineLevel="0" collapsed="false">
      <c r="A17" s="15" t="s">
        <v>268</v>
      </c>
      <c r="B17" s="19" t="n">
        <v>49</v>
      </c>
      <c r="C17" s="17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9" t="s">
        <v>270</v>
      </c>
    </row>
    <row r="3" customFormat="false" ht="60" hidden="false" customHeight="true" outlineLevel="0" collapsed="false">
      <c r="A3" s="20" t="s">
        <v>271</v>
      </c>
      <c r="B3" s="21" t="s">
        <v>272</v>
      </c>
    </row>
    <row r="4" customFormat="false" ht="45" hidden="false" customHeight="true" outlineLevel="0" collapsed="false">
      <c r="A4" s="20" t="s">
        <v>273</v>
      </c>
      <c r="B4" s="21" t="s">
        <v>274</v>
      </c>
    </row>
    <row r="5" customFormat="false" ht="90" hidden="false" customHeight="true" outlineLevel="0" collapsed="false">
      <c r="A5" s="20" t="s">
        <v>275</v>
      </c>
      <c r="B5" s="21" t="s">
        <v>276</v>
      </c>
    </row>
    <row r="6" customFormat="false" ht="30" hidden="false" customHeight="true" outlineLevel="0" collapsed="false">
      <c r="A6" s="20" t="s">
        <v>277</v>
      </c>
      <c r="B6" s="21" t="s">
        <v>278</v>
      </c>
    </row>
    <row r="7" customFormat="false" ht="45" hidden="false" customHeight="true" outlineLevel="0" collapsed="false">
      <c r="A7" s="20" t="s">
        <v>279</v>
      </c>
      <c r="B7" s="21" t="s">
        <v>280</v>
      </c>
    </row>
    <row r="8" customFormat="false" ht="30" hidden="false" customHeight="true" outlineLevel="0" collapsed="false">
      <c r="A8" s="20" t="s">
        <v>281</v>
      </c>
      <c r="B8" s="21" t="s">
        <v>282</v>
      </c>
    </row>
    <row r="9" customFormat="false" ht="30" hidden="false" customHeight="true" outlineLevel="0" collapsed="false">
      <c r="A9" s="20" t="s">
        <v>283</v>
      </c>
      <c r="B9" s="21" t="s">
        <v>284</v>
      </c>
    </row>
    <row r="10" customFormat="false" ht="30" hidden="false" customHeight="true" outlineLevel="0" collapsed="false">
      <c r="A10" s="20" t="s">
        <v>285</v>
      </c>
      <c r="B10" s="21" t="s">
        <v>286</v>
      </c>
    </row>
    <row r="11" customFormat="false" ht="30" hidden="false" customHeight="true" outlineLevel="0" collapsed="false">
      <c r="A11" s="20" t="s">
        <v>287</v>
      </c>
      <c r="B11" s="21" t="s">
        <v>288</v>
      </c>
    </row>
    <row r="12" customFormat="false" ht="30" hidden="false" customHeight="true" outlineLevel="0" collapsed="false">
      <c r="A12" s="20" t="s">
        <v>289</v>
      </c>
      <c r="B12" s="21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2026-10-20T12:29:11Z</dcterms:created>
  <dc:creator>openpyxl</dc:creator>
  <dc:description/>
  <dc:language>en-US</dc:language>
  <cp:lastModifiedBy/>
  <dcterms:modified xsi:type="dcterms:W3CDTF">2026-10-20T12:29:11Z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